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Dropbox\PC (2)\Desktop\Pittroe Business services\Resources - Free Lead Magnets and Paid templates\Tax Hands Game\"/>
    </mc:Choice>
  </mc:AlternateContent>
  <xr:revisionPtr revIDLastSave="0" documentId="13_ncr:1_{AAA7A6F1-A44F-46B7-BDBB-E5174464F5B7}" xr6:coauthVersionLast="47" xr6:coauthVersionMax="47" xr10:uidLastSave="{00000000-0000-0000-0000-000000000000}"/>
  <bookViews>
    <workbookView xWindow="28680" yWindow="-120" windowWidth="24240" windowHeight="13020" activeTab="1" xr2:uid="{D571901D-C6C9-4FB9-89B2-2C211D5D3543}"/>
  </bookViews>
  <sheets>
    <sheet name="Game Pieces" sheetId="2" r:id="rId1"/>
    <sheet name="Card Deck" sheetId="4" r:id="rId2"/>
    <sheet name="Pathway Roles" sheetId="6" r:id="rId3"/>
    <sheet name="Filing Status" sheetId="9" r:id="rId4"/>
    <sheet name="Tax Brackets" sheetId="10" r:id="rId5"/>
    <sheet name="Credits" sheetId="11" r:id="rId6"/>
    <sheet name="Developer Notes" sheetId="7" r:id="rId7"/>
    <sheet name="Sheet7" sheetId="15" r:id="rId8"/>
    <sheet name="Life Ledger and Game outputs" sheetId="14" r:id="rId9"/>
    <sheet name="Coding Notes" sheetId="8" r:id="rId10"/>
    <sheet name="Living Costs for Cash Resources" sheetId="13" r:id="rId11"/>
  </sheets>
  <definedNames>
    <definedName name="_xlnm._FilterDatabase" localSheetId="1" hidden="1">'Card Deck'!$A$2:$Y$2</definedName>
    <definedName name="_xlnm._FilterDatabase" localSheetId="6" hidden="1">'Developer Notes'!$A$1:$E$1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2" l="1"/>
  <c r="J4" i="2"/>
  <c r="H8" i="2"/>
  <c r="H6" i="2"/>
  <c r="H7" i="2"/>
  <c r="H5" i="2"/>
  <c r="H4" i="2"/>
  <c r="F4" i="2"/>
  <c r="J5" i="2"/>
  <c r="J6" i="2"/>
  <c r="J7" i="2"/>
  <c r="J8" i="2"/>
  <c r="F6" i="2"/>
  <c r="F7" i="2"/>
  <c r="F5" i="2"/>
  <c r="O4" i="2"/>
  <c r="O6" i="2"/>
  <c r="O3" i="2"/>
  <c r="N5" i="2"/>
  <c r="M7" i="2"/>
  <c r="J2" i="2" l="1"/>
  <c r="H2" i="2"/>
  <c r="N7" i="2"/>
  <c r="F2" i="2"/>
  <c r="O5" i="2"/>
  <c r="J1" i="2" l="1"/>
  <c r="H1" i="2"/>
  <c r="F1" i="2"/>
</calcChain>
</file>

<file path=xl/sharedStrings.xml><?xml version="1.0" encoding="utf-8"?>
<sst xmlns="http://schemas.openxmlformats.org/spreadsheetml/2006/main" count="4636" uniqueCount="2884">
  <si>
    <t>Card Type</t>
  </si>
  <si>
    <t>Card Name</t>
  </si>
  <si>
    <t>Got Married</t>
  </si>
  <si>
    <t>Got Divorced</t>
  </si>
  <si>
    <t>Audit Trigger</t>
  </si>
  <si>
    <t>Green</t>
  </si>
  <si>
    <t>Blue</t>
  </si>
  <si>
    <t>Yellow</t>
  </si>
  <si>
    <t>Red</t>
  </si>
  <si>
    <t>Card Color</t>
  </si>
  <si>
    <t>Card Type No</t>
  </si>
  <si>
    <t>Cards</t>
  </si>
  <si>
    <t>Dependants</t>
  </si>
  <si>
    <t>Audit Risk</t>
  </si>
  <si>
    <t>Marriage</t>
  </si>
  <si>
    <t>Investments</t>
  </si>
  <si>
    <t>ITEM</t>
  </si>
  <si>
    <t>Currency</t>
  </si>
  <si>
    <t>Style</t>
  </si>
  <si>
    <t>Rings</t>
  </si>
  <si>
    <t>Items Per Game</t>
  </si>
  <si>
    <t>Certificate (stock)</t>
  </si>
  <si>
    <t>Poker weight</t>
  </si>
  <si>
    <t>TOTAL</t>
  </si>
  <si>
    <t>PRICE PER GAME</t>
  </si>
  <si>
    <t>Bottle/ Pacifier</t>
  </si>
  <si>
    <t>Price</t>
  </si>
  <si>
    <t>Tarot (12-15) or poker size (8-10)</t>
  </si>
  <si>
    <t>Deck</t>
  </si>
  <si>
    <t>Item</t>
  </si>
  <si>
    <t>Set</t>
  </si>
  <si>
    <t>Priced Level</t>
  </si>
  <si>
    <t>Card ID</t>
  </si>
  <si>
    <t>Subcategory</t>
  </si>
  <si>
    <t>Card Description</t>
  </si>
  <si>
    <t>Education Message</t>
  </si>
  <si>
    <t>Result Message</t>
  </si>
  <si>
    <t>Active</t>
  </si>
  <si>
    <t>Developer Notes</t>
  </si>
  <si>
    <t>Income</t>
  </si>
  <si>
    <t>Business</t>
  </si>
  <si>
    <t>Deduction</t>
  </si>
  <si>
    <t>W-2</t>
  </si>
  <si>
    <t>W-2 Job — $35,000</t>
  </si>
  <si>
    <t>W-2 Job — $110,000</t>
  </si>
  <si>
    <t>Freelance Net Income — $15,000</t>
  </si>
  <si>
    <t>Freelance Net Income — $25,000</t>
  </si>
  <si>
    <t>Permanent unique ID used by the app</t>
  </si>
  <si>
    <t>Number within that specific card deck/type</t>
  </si>
  <si>
    <t>Main physical card deck or category</t>
  </si>
  <si>
    <t>More specific classification within the card type</t>
  </si>
  <si>
    <t>Color used for the physical and digital card</t>
  </si>
  <si>
    <t>Main title the player sees</t>
  </si>
  <si>
    <t>Short story, circumstance, or context shown to the player</t>
  </si>
  <si>
    <t>Main dollar amount or quantity represented by the card</t>
  </si>
  <si>
    <t>Identifies what the card changes in the game simulation</t>
  </si>
  <si>
    <t>Numeric value used by the game engine when applying the effect</t>
  </si>
  <si>
    <t>Number of rounds the effect remains active</t>
  </si>
  <si>
    <t>Tax concept or area affected by the card</t>
  </si>
  <si>
    <t>Plain-English instruction describing how the card affects the tax simulation</t>
  </si>
  <si>
    <t>Indicates whether and how the card changes audit risk</t>
  </si>
  <si>
    <t>Any special interaction between this card and a Life Path/Role</t>
  </si>
  <si>
    <t>Identifies which rounds the card can be used in</t>
  </si>
  <si>
    <t>Indicates whether the player must make a decision after drawing/selecting the card</t>
  </si>
  <si>
    <t>Indicates whether the player keeps a physical game piece/card as a reminder of an ongoing event</t>
  </si>
  <si>
    <t>Main tax or financial concept the card is intended to teach</t>
  </si>
  <si>
    <t>Short educational explanation shown to the player after or during the card</t>
  </si>
  <si>
    <t>Personalized result/explanation shown after the game applies the card</t>
  </si>
  <si>
    <t>Suggested illustration, icon, animation, or visual treatment</t>
  </si>
  <si>
    <t>Internal design/development notes that are never shown to the player</t>
  </si>
  <si>
    <t>Indicates whether the card is currently available for use in the game</t>
  </si>
  <si>
    <t>Amount</t>
  </si>
  <si>
    <t>Effect Type</t>
  </si>
  <si>
    <t>Effect Value</t>
  </si>
  <si>
    <t>Effect Duration (Rounds)</t>
  </si>
  <si>
    <t>Tax Category</t>
  </si>
  <si>
    <t>Tax Treatment / Rule</t>
  </si>
  <si>
    <t>Pathway Rule</t>
  </si>
  <si>
    <t>Round Rule</t>
  </si>
  <si>
    <t>Player Choice Required</t>
  </si>
  <si>
    <t>Physical Reminder</t>
  </si>
  <si>
    <t>Education Concept</t>
  </si>
  <si>
    <t>Graphic / Visual</t>
  </si>
  <si>
    <t>SSA Only</t>
  </si>
  <si>
    <t>Retirement Income</t>
  </si>
  <si>
    <t>Social Security</t>
  </si>
  <si>
    <t>SSA + Retirement</t>
  </si>
  <si>
    <t>Mixed Retirement Income</t>
  </si>
  <si>
    <t>Social Security + Retirement Savings</t>
  </si>
  <si>
    <t>Social Security + Strong Retirement Savings</t>
  </si>
  <si>
    <t>INC-W2-001</t>
  </si>
  <si>
    <t>W-2 Job — $30,000</t>
  </si>
  <si>
    <t>You have a W-2 job earning $30,000 this round.</t>
  </si>
  <si>
    <t>W-2 Wages</t>
  </si>
  <si>
    <t>Add $30,000 to gross income as W-2 wages. Withholding is determined separately.</t>
  </si>
  <si>
    <t>None</t>
  </si>
  <si>
    <t>Apply pathway income modifiers after card selection.</t>
  </si>
  <si>
    <t>Regular-Life Rounds</t>
  </si>
  <si>
    <t>No</t>
  </si>
  <si>
    <t>Employee Income</t>
  </si>
  <si>
    <t>W-2 wages are money you earn as an employee. Taxes may be withheld from your paycheck, but the amount withheld is determined separately.</t>
  </si>
  <si>
    <t>$30,000 of W-2 wages has been added to your income for this round.</t>
  </si>
  <si>
    <t>Entry-level job / paycheck</t>
  </si>
  <si>
    <t>Lower W-2 income tier. Do not automatically assign withholding.</t>
  </si>
  <si>
    <t>Yes</t>
  </si>
  <si>
    <t>INC-W2-002</t>
  </si>
  <si>
    <t>You have a W-2 job earning $35,000 this round.</t>
  </si>
  <si>
    <t>Add $35,000 to gross income as W-2 wages. Withholding is determined separately.</t>
  </si>
  <si>
    <t>Your wages count as income for tax purposes. The amount withheld from your paycheck is a separate part of the tax story.</t>
  </si>
  <si>
    <t>$35,000 of W-2 wages has been added to your income for this round.</t>
  </si>
  <si>
    <t>Workplace / paycheck</t>
  </si>
  <si>
    <t>W-2 tier 2.</t>
  </si>
  <si>
    <t>INC-W2-003</t>
  </si>
  <si>
    <t>W-2 Job — $40,000</t>
  </si>
  <si>
    <t>You have a W-2 job earning $40,000 this round.</t>
  </si>
  <si>
    <t>Add $40,000 to gross income as W-2 wages. Withholding is determined separately.</t>
  </si>
  <si>
    <t>Earning more money can increase your taxable income, but deductions and other tax rules still affect the final result.</t>
  </si>
  <si>
    <t>$40,000 of W-2 wages has been added to your income for this round.</t>
  </si>
  <si>
    <t>Employee at work</t>
  </si>
  <si>
    <t>W-2 tier 3.</t>
  </si>
  <si>
    <t>INC-W2-004</t>
  </si>
  <si>
    <t>W-2 Job — $50,000</t>
  </si>
  <si>
    <t>You have a W-2 job earning $50,000 this round.</t>
  </si>
  <si>
    <t>Add $50,000 to gross income as W-2 wages. Withholding is determined separately.</t>
  </si>
  <si>
    <t>Your income is one of the starting points used to determine your taxes.</t>
  </si>
  <si>
    <t>$50,000 of W-2 wages has been added to your income for this round.</t>
  </si>
  <si>
    <t>Career / office</t>
  </si>
  <si>
    <t>Middle W-2 tier.</t>
  </si>
  <si>
    <t>INC-W2-005</t>
  </si>
  <si>
    <t>W-2 Job — $60,000</t>
  </si>
  <si>
    <t>You have a W-2 job earning $60,000 this round.</t>
  </si>
  <si>
    <t>Add $60,000 to gross income as W-2 wages. Withholding is determined separately.</t>
  </si>
  <si>
    <t>As income changes, the amount of income subject to tax can also change.</t>
  </si>
  <si>
    <t>$60,000 of W-2 wages has been added to your income for this round.</t>
  </si>
  <si>
    <t>Professional / paycheck</t>
  </si>
  <si>
    <t>W-2 tier 5.</t>
  </si>
  <si>
    <t>INC-W2-006</t>
  </si>
  <si>
    <t>W-2 Job — $75,000</t>
  </si>
  <si>
    <t>You have a W-2 job earning $75,000 this round.</t>
  </si>
  <si>
    <t>Add $75,000 to gross income as W-2 wages. Withholding is determined separately.</t>
  </si>
  <si>
    <t>A higher salary does not mean every dollar is taxed at the same rate.</t>
  </si>
  <si>
    <t>$75,000 of W-2 wages has been added to your income for this round.</t>
  </si>
  <si>
    <t>Career advancement</t>
  </si>
  <si>
    <t>Useful later for teaching marginal tax brackets.</t>
  </si>
  <si>
    <t>INC-W2-007</t>
  </si>
  <si>
    <t>W-2 Job — $90,000</t>
  </si>
  <si>
    <t>You have a W-2 job earning $90,000 this round.</t>
  </si>
  <si>
    <t>Add $90,000 to gross income as W-2 wages. Withholding is determined separately.</t>
  </si>
  <si>
    <t>Tax brackets work in layers. Moving into a higher bracket does not make all of your income taxed at that higher rate.</t>
  </si>
  <si>
    <t>$90,000 of W-2 wages has been added to your income for this round.</t>
  </si>
  <si>
    <t>Senior professional</t>
  </si>
  <si>
    <r>
      <t>Correction for Excel:</t>
    </r>
    <r>
      <rPr>
        <sz val="12"/>
        <color theme="1"/>
        <rFont val="Calibri"/>
        <family val="2"/>
      </rPr>
      <t xml:space="preserve"> Effect Value should be </t>
    </r>
    <r>
      <rPr>
        <sz val="10"/>
        <color theme="1"/>
        <rFont val="Arial Unicode MS"/>
        <family val="2"/>
      </rPr>
      <t>90000</t>
    </r>
    <r>
      <rPr>
        <sz val="12"/>
        <color theme="1"/>
        <rFont val="Calibri"/>
        <family val="2"/>
      </rPr>
      <t>, not the word Income.</t>
    </r>
  </si>
  <si>
    <t>INC-W2-008</t>
  </si>
  <si>
    <t>You have a W-2 job earning $110,000 this round.</t>
  </si>
  <si>
    <t>Add $110,000 to gross income as W-2 wages. Withholding is determined separately.</t>
  </si>
  <si>
    <t>Higher income can change the amount of tax you owe, but your final result also depends on deductions, credits, and taxes already paid.</t>
  </si>
  <si>
    <t>$110,000 of W-2 wages has been added to your income for this round.</t>
  </si>
  <si>
    <t>Leadership / professional career</t>
  </si>
  <si>
    <t>Highest regular W-2 tier in initial deck.</t>
  </si>
  <si>
    <t>INC-BIZ-001</t>
  </si>
  <si>
    <t>Your freelance work produced $15,000 of net business income this round.</t>
  </si>
  <si>
    <t>Business Net Income</t>
  </si>
  <si>
    <t>Add $15,000 as net business income. Do not treat this amount as gross business revenue. Withholding/prepayments are determined separately.</t>
  </si>
  <si>
    <t>Business Income</t>
  </si>
  <si>
    <t>Entrepreneur pathway may have additional income draws. Apply pathway modifiers separately.</t>
  </si>
  <si>
    <t>Business income is based on what the business earns after eligible business expenses in this simulation.</t>
  </si>
  <si>
    <t>$15,000 of net business income has been added for this round.</t>
  </si>
  <si>
    <t>Laptop / freelancer</t>
  </si>
  <si>
    <t>Entry-level side-business amount. Flag business-income audit consideration separately.</t>
  </si>
  <si>
    <t>INC-BIZ-002</t>
  </si>
  <si>
    <t>Your freelance work produced $25,000 of net business income this round.</t>
  </si>
  <si>
    <t>Add $25,000 as net business income. Withholding/prepayments are determined separately.</t>
  </si>
  <si>
    <t>Entrepreneur pathway may have additional income draws.</t>
  </si>
  <si>
    <t>People who work for themselves may need to plan for taxes differently because taxes may not automatically come out of each payment.</t>
  </si>
  <si>
    <t>$25,000 of net business income has been added for this round.</t>
  </si>
  <si>
    <t>Freelancer / home office</t>
  </si>
  <si>
    <t>Business tier 2. Don't automatically set withholding to zero.</t>
  </si>
  <si>
    <t>INC-BIZ-003</t>
  </si>
  <si>
    <t>Small Business Net Income — $35,000</t>
  </si>
  <si>
    <t>Your business produced $35,000 of net income this round.</t>
  </si>
  <si>
    <t>Add $35,000 as net business income.</t>
  </si>
  <si>
    <t>Net Income</t>
  </si>
  <si>
    <t>Business revenue and business profit are not the same thing. This card represents net business income used by the simulation.</t>
  </si>
  <si>
    <t>$35,000 of net business income has been added for this round.</t>
  </si>
  <si>
    <t>Small storefront / entrepreneur</t>
  </si>
  <si>
    <t>Explicitly teach revenue versus net income elsewhere in curriculum.</t>
  </si>
  <si>
    <t>INC-BIZ-004</t>
  </si>
  <si>
    <t>Small Business Net Income — $50,000</t>
  </si>
  <si>
    <t>Your business produced $50,000 of net income this round.</t>
  </si>
  <si>
    <t>Add $50,000 as net business income.</t>
  </si>
  <si>
    <t>The simulation uses net business income—the amount remaining after applicable business expenses—not total sales.</t>
  </si>
  <si>
    <t>$50,000 of net business income has been added for this round.</t>
  </si>
  <si>
    <t>Growing business</t>
  </si>
  <si>
    <t>Middle business tier.</t>
  </si>
  <si>
    <t>INC-BIZ-005</t>
  </si>
  <si>
    <t>Small Business Net Income — $65,000</t>
  </si>
  <si>
    <t>Your business produced $65,000 of net income this round.</t>
  </si>
  <si>
    <t>Add $65,000 as net business income.</t>
  </si>
  <si>
    <t>Self-Employment</t>
  </si>
  <si>
    <t>Self-employed taxpayers generally have additional tax responsibilities that employees may not have.</t>
  </si>
  <si>
    <t>$65,000 of net business income has been added for this round.</t>
  </si>
  <si>
    <t>Business owner</t>
  </si>
  <si>
    <t>Can support later self-employment-tax lesson.</t>
  </si>
  <si>
    <t>INC-BIZ-006</t>
  </si>
  <si>
    <t>Small Business Net Income — $80,000</t>
  </si>
  <si>
    <t>Your business produced $80,000 of net income this round.</t>
  </si>
  <si>
    <t>Add $80,000 as net business income.</t>
  </si>
  <si>
    <t>Tax Planning</t>
  </si>
  <si>
    <t>Business owners may need to make tax payments during the year instead of relying on employer withholding.</t>
  </si>
  <si>
    <t>$80,000 of net business income has been added for this round.</t>
  </si>
  <si>
    <t>Established business</t>
  </si>
  <si>
    <t>Withholding/prepayment deck still determines simulated tax paid in advance.</t>
  </si>
  <si>
    <t>INC-BIZ-007</t>
  </si>
  <si>
    <t>Small Business Net Income — $100,000</t>
  </si>
  <si>
    <t>Your business produced $100,000 of net income this round.</t>
  </si>
  <si>
    <t>Add $100,000 as net business income.</t>
  </si>
  <si>
    <t>Business Tax Responsibility</t>
  </si>
  <si>
    <t>As business income grows, planning for taxes and keeping good records becomes increasingly important.</t>
  </si>
  <si>
    <t>$100,000 of net business income has been added for this round.</t>
  </si>
  <si>
    <t>Successful business owner</t>
  </si>
  <si>
    <t>Higher business tier.</t>
  </si>
  <si>
    <t>INC-BIZ-008</t>
  </si>
  <si>
    <t>Small Business Net Income — $125,000</t>
  </si>
  <si>
    <t>Your business produced $125,000 of net income this round.</t>
  </si>
  <si>
    <t>Add $125,000 as net business income.</t>
  </si>
  <si>
    <t>Higher business income can mean a larger tax obligation and makes tax planning especially important.</t>
  </si>
  <si>
    <t>$125,000 of net business income has been added for this round.</t>
  </si>
  <si>
    <t>Thriving business</t>
  </si>
  <si>
    <t>Highest regular business tier in initial deck.</t>
  </si>
  <si>
    <t>RET-SSA-001</t>
  </si>
  <si>
    <t>Retirement</t>
  </si>
  <si>
    <t>Retirement Green</t>
  </si>
  <si>
    <t>Social Security — $18,000</t>
  </si>
  <si>
    <t>Social Security is your only retirement income this round.</t>
  </si>
  <si>
    <t>$18,000 SSA income; no additional retirement/investment income. Apply Social Security taxation rules in tax engine.</t>
  </si>
  <si>
    <t>Early Retiree accesses retirement deck beginning Round 4.</t>
  </si>
  <si>
    <t>Retirement Round</t>
  </si>
  <si>
    <t>Social Security Income</t>
  </si>
  <si>
    <t>Social Security can provide retirement income, but relying on it alone may mean living on a limited income.</t>
  </si>
  <si>
    <t>You received $18,000 from Social Security and had no other retirement income this round.</t>
  </si>
  <si>
    <t>Social Security card / modest home</t>
  </si>
  <si>
    <t>Lower SSA-only outcome. Do not assume all Social Security is taxable.</t>
  </si>
  <si>
    <t>RET-SSA-002</t>
  </si>
  <si>
    <t>Social Security — $24,000</t>
  </si>
  <si>
    <t>$24,000 SSA income; no additional retirement/investment income. Apply Social Security taxation rules in tax engine.</t>
  </si>
  <si>
    <t>Social Security provides a base of retirement income. Whether some benefits are taxable can depend on your other income.</t>
  </si>
  <si>
    <t>You received $24,000 from Social Security and had no other retirement income this round.</t>
  </si>
  <si>
    <t>Retired person / monthly benefit</t>
  </si>
  <si>
    <t>Middle SSA-only outcome.</t>
  </si>
  <si>
    <t>RET-SSA-003</t>
  </si>
  <si>
    <t>Social Security — $32,000</t>
  </si>
  <si>
    <t>You delayed benefits and now receive a larger Social Security benefit, with no additional retirement income this round.</t>
  </si>
  <si>
    <t>$32,000 SSA income; no additional retirement/investment income. Apply Social Security taxation rules in tax engine.</t>
  </si>
  <si>
    <t>Timing Social Security</t>
  </si>
  <si>
    <t>When you begin Social Security can affect the size of your monthly benefit. Waiting longer can result in a larger benefit, up to applicable limits.</t>
  </si>
  <si>
    <t>You receive $32,000 in Social Security income this round.</t>
  </si>
  <si>
    <t>Calendar / Social Security / later retirement</t>
  </si>
  <si>
    <t>Represents comparatively higher SSA benefit; educational simplification rather than individualized benefit calculation.</t>
  </si>
  <si>
    <t>RET-MIX-001</t>
  </si>
  <si>
    <t>Social Security + Small Retirement Fund</t>
  </si>
  <si>
    <t>You receive $22,000 from Social Security plus $8,000 from retirement savings.</t>
  </si>
  <si>
    <t>Components: $22,000 SSA + $8,000 retirement distribution. Calculate each component under applicable rules.</t>
  </si>
  <si>
    <t>Multiple Retirement Sources</t>
  </si>
  <si>
    <t>Retirement income can come from more than one place. Savings can supplement the income you receive from Social Security.</t>
  </si>
  <si>
    <t>Your retirement income totals $30,000: $22,000 from Social Security and $8,000 from retirement savings.</t>
  </si>
  <si>
    <t>Two income streams joining</t>
  </si>
  <si>
    <t>Lowest mixed-retirement outcome. Engine should retain components separately.</t>
  </si>
  <si>
    <t>RET-MIX-002</t>
  </si>
  <si>
    <t>You receive $24,000 from Social Security plus $16,000 from retirement savings.</t>
  </si>
  <si>
    <t>Components: $24,000 SSA + $16,000 retirement distribution. Calculate components separately.</t>
  </si>
  <si>
    <t>Retirement Savings</t>
  </si>
  <si>
    <t>Saving during your working years can create another source of money alongside Social Security in retirement.</t>
  </si>
  <si>
    <t>Your retirement income totals $40,000 from Social Security and retirement savings.</t>
  </si>
  <si>
    <t>Social Security + retirement account</t>
  </si>
  <si>
    <t>Lower-middle mixed outcome.</t>
  </si>
  <si>
    <t>RET-MIX-003</t>
  </si>
  <si>
    <t>You receive $28,000 from Social Security plus $32,000 from retirement savings and investments.</t>
  </si>
  <si>
    <t>Components: $28,000 SSA + $32,000 retirement/investment income. Calculate components separately.</t>
  </si>
  <si>
    <t>Retirement Planning</t>
  </si>
  <si>
    <t>Building retirement savings during your career can give you more than one source of income later in life.</t>
  </si>
  <si>
    <t>Your combined retirement income is $60,000 this round.</t>
  </si>
  <si>
    <t>Comfortable retirement / investment chart</t>
  </si>
  <si>
    <t>Comfortable mixed outcome.</t>
  </si>
  <si>
    <t>RET-MIX-004</t>
  </si>
  <si>
    <t>Social Security + Large Retirement Portfolio</t>
  </si>
  <si>
    <t>You receive $30,000 from Social Security plus $55,000 from retirement accounts and investments.</t>
  </si>
  <si>
    <t>Components: $30,000 SSA + $55,000 retirement/investment income. Calculate components separately.</t>
  </si>
  <si>
    <t>Retirement Income &amp; Taxes</t>
  </si>
  <si>
    <t>Having more retirement income can improve financial security, but different types of retirement income can also have different tax consequences.</t>
  </si>
  <si>
    <t>Your combined retirement income is $85,000 this round.</t>
  </si>
  <si>
    <t>Retirement portfolio / travel</t>
  </si>
  <si>
    <t>Upper mixed outcome. Good introduction to retirement-income tax differences.</t>
  </si>
  <si>
    <t>RET-HIGH-001</t>
  </si>
  <si>
    <t>High Assets + SSA</t>
  </si>
  <si>
    <t>Social Security + Successful Investment Portfolio</t>
  </si>
  <si>
    <t>You receive $32,000 from Social Security plus $88,000 from retirement accounts and investments.</t>
  </si>
  <si>
    <t>High-Asset Retirement</t>
  </si>
  <si>
    <t>Components: $32,000 SSA + $88,000 retirement/investment income. Tax treatment depends on source.</t>
  </si>
  <si>
    <t>High-Income Retirement</t>
  </si>
  <si>
    <t>Retirement does not necessarily mean low income. Investments and retirement accounts can create substantial income after you stop working.</t>
  </si>
  <si>
    <t>Your retirement income totals $120,000 this round. Your income sources may receive different tax treatment.</t>
  </si>
  <si>
    <t>Large portfolio / comfortable retirement</t>
  </si>
  <si>
    <t>First high-asset outcome.</t>
  </si>
  <si>
    <t>RET-HIGH-002</t>
  </si>
  <si>
    <t>Social Security + High-Value Portfolio</t>
  </si>
  <si>
    <t>You receive $36,000 from Social Security plus $164,000 from retirement accounts and investments.</t>
  </si>
  <si>
    <t>Components: $36,000 SSA + $164,000 retirement/investment income. Tax treatment depends on source.</t>
  </si>
  <si>
    <t>Wealth &amp; Retirement Taxes</t>
  </si>
  <si>
    <t>A high-income retiree can still have a significant tax bill. Retirement does not automatically mean your income becomes tax-free.</t>
  </si>
  <si>
    <t>Your combined retirement income is $200,000 this round. The tax engine will consider the different income sources.</t>
  </si>
  <si>
    <t>Large investment portfolio / upscale retirement</t>
  </si>
  <si>
    <t>Intentionally large outcome to challenge assumption that retirees always have low taxable income.</t>
  </si>
  <si>
    <t>RET-HIGH-003</t>
  </si>
  <si>
    <t>High Investments</t>
  </si>
  <si>
    <t>Investment-Funded Retirement — $300,000</t>
  </si>
  <si>
    <t>Your investment portfolio produces $300,000 of retirement income. Social Security is not included in this scenario.</t>
  </si>
  <si>
    <t>Investment Retirement Income</t>
  </si>
  <si>
    <t>$300,000 investment/retirement income; no SSA component on this card. Actual tax treatment will depend on modeled investment types.</t>
  </si>
  <si>
    <t>Some retirees receive much more income from investments and retirement assets than from Social Security. High retirement income can still create substantial taxes.</t>
  </si>
  <si>
    <t>Your investments produce $300,000 of retirement income this round, with no Social Security included in this scenario.</t>
  </si>
  <si>
    <t>Large portfolio / investments / retirement lifestyle</t>
  </si>
  <si>
    <t>Extreme high-asset card. Later decide whether income represents taxable distributions, gains, dividends, or simplified blended investment income.</t>
  </si>
  <si>
    <t>LIFE-001</t>
  </si>
  <si>
    <t>Life Event</t>
  </si>
  <si>
    <t>Dependent</t>
  </si>
  <si>
    <t>Had a Child</t>
  </si>
  <si>
    <t>Add Dependent</t>
  </si>
  <si>
    <t>Dependents</t>
  </si>
  <si>
    <t>LIFE-002</t>
  </si>
  <si>
    <t>Became a Caregiver</t>
  </si>
  <si>
    <t>LIFE-003</t>
  </si>
  <si>
    <t>Change Filing Status</t>
  </si>
  <si>
    <t>Persistent</t>
  </si>
  <si>
    <t>Filing Status</t>
  </si>
  <si>
    <t>LIFE-004</t>
  </si>
  <si>
    <t>Divorce</t>
  </si>
  <si>
    <t>LIFE-005</t>
  </si>
  <si>
    <t>Homeownership</t>
  </si>
  <si>
    <t>Bought a Home</t>
  </si>
  <si>
    <t>Enable Deduction Scenario</t>
  </si>
  <si>
    <t>Homeowner</t>
  </si>
  <si>
    <t>Itemized Deductions</t>
  </si>
  <si>
    <t>Homeownership &amp; Deductions</t>
  </si>
  <si>
    <t>LIFE-006</t>
  </si>
  <si>
    <t>Remove Dependent</t>
  </si>
  <si>
    <t>LIFE-007</t>
  </si>
  <si>
    <t>LIFE-008</t>
  </si>
  <si>
    <t>Parent Moved In</t>
  </si>
  <si>
    <t>LIFE-009</t>
  </si>
  <si>
    <t>LIFE-010</t>
  </si>
  <si>
    <t>Added a Second Dependent</t>
  </si>
  <si>
    <t>Multiple Dependents</t>
  </si>
  <si>
    <t>DED-001</t>
  </si>
  <si>
    <t>Below X</t>
  </si>
  <si>
    <t>Medical Expenses — $3,000</t>
  </si>
  <si>
    <t>You had $3,000 of qualifying medical expenses, but your combined eligible itemized deductions remained below your standard deduction of X.</t>
  </si>
  <si>
    <t>Deduction Comparison</t>
  </si>
  <si>
    <t>Standard vs. Itemized</t>
  </si>
  <si>
    <t>Compare eligible itemized deductions to current standard deduction X. Scenario is designed so itemized total remains below X; use standard deduction when X is larger.</t>
  </si>
  <si>
    <t>All Applicable Rounds</t>
  </si>
  <si>
    <t>Standard Deduction</t>
  </si>
  <si>
    <t>Having a deductible expense does not automatically mean itemizing is better. You compare your eligible itemized deductions with the standard deduction.</t>
  </si>
  <si>
    <t>Your eligible itemized deductions did not exceed X. The standard deduction gives you the larger deduction this round.</t>
  </si>
  <si>
    <t>Medical bill + comparison scale</t>
  </si>
  <si>
    <t>X comes from tax-rules table based on applicable year and filing status. Medical limitations handled by engine.</t>
  </si>
  <si>
    <t>DED-002</t>
  </si>
  <si>
    <t>Charitable Giving — $2,500</t>
  </si>
  <si>
    <t>You gave $2,500 to qualifying charities, but your combined eligible itemized deductions remained below X.</t>
  </si>
  <si>
    <t>Add eligible charitable giving to itemized deductions and compare the combined total with X. Use standard deduction when X is larger.</t>
  </si>
  <si>
    <t>Charitable Contributions</t>
  </si>
  <si>
    <t>A charitable contribution may count toward itemized deductions, but itemizing only helps when the eligible total beats the standard deduction.</t>
  </si>
  <si>
    <t>Your itemized total stayed below X, so the standard deduction is better this round.</t>
  </si>
  <si>
    <t>Donation box + comparison scale</t>
  </si>
  <si>
    <t>Assume qualifying and documented charitable contribution for game purposes.</t>
  </si>
  <si>
    <t>DED-003</t>
  </si>
  <si>
    <t>Mortgage Interest — $6,000</t>
  </si>
  <si>
    <t>You paid $6,000 of qualifying mortgage interest, but your total eligible itemized deductions still did not exceed X.</t>
  </si>
  <si>
    <t>Include eligible mortgage interest in itemized total. Compare combined itemized deductions with X.</t>
  </si>
  <si>
    <t>Requires active homeowner status or redraw.</t>
  </si>
  <si>
    <t>Mortgage Interest</t>
  </si>
  <si>
    <t>Owning a home does not automatically make itemizing better. Mortgage interest is one part of the itemized-deduction comparison.</t>
  </si>
  <si>
    <t>Even with your mortgage interest, your itemized deductions stayed below X. The standard deduction is larger.</t>
  </si>
  <si>
    <t>House + mortgage statement</t>
  </si>
  <si>
    <t>Requires active homeowner Life Event.</t>
  </si>
  <si>
    <t>DED-004</t>
  </si>
  <si>
    <t>Several Small Deductions — $8,500</t>
  </si>
  <si>
    <t>You had several eligible itemized expenses totaling $8,500, but together they were still below X.</t>
  </si>
  <si>
    <t>Eligible itemized total is $8,500. Compare against current X and use the larger allowable deduction.</t>
  </si>
  <si>
    <t>Adding Deductions Together</t>
  </si>
  <si>
    <t>Itemized deductions are added together and compared with the standard deduction. Several deductions can still be too small to make itemizing worthwhile.</t>
  </si>
  <si>
    <t>Your eligible itemized expenses totaled $8,500, but X was larger. You take the standard deduction.</t>
  </si>
  <si>
    <t>Small receipts stacking below threshold</t>
  </si>
  <si>
    <t>General mixed-expense scenario.</t>
  </si>
  <si>
    <t>DED-005</t>
  </si>
  <si>
    <t>Medical + Charitable Expenses — $9,500</t>
  </si>
  <si>
    <t>You had qualifying medical and charitable expenses, but your combined eligible itemized deductions totaled only $9,500.</t>
  </si>
  <si>
    <t>Eligible itemized total is $9,500. Compare against X and use the larger allowable deduction.</t>
  </si>
  <si>
    <t>Even when you have more than one type of deductible expense, the standard deduction may still be larger.</t>
  </si>
  <si>
    <t>Your itemized deductions totaled $9,500. Because that was below X, the standard deduction gives you the better result.</t>
  </si>
  <si>
    <t>Medical receipt + donation receipt</t>
  </si>
  <si>
    <t>Highest planned below-X scenario.</t>
  </si>
  <si>
    <t>DED-006</t>
  </si>
  <si>
    <t>Above X</t>
  </si>
  <si>
    <t>Major Medical Expenses — $8,000</t>
  </si>
  <si>
    <t>You had $8,000 of qualifying medical expenses plus mortgage interest, charitable contributions, and other eligible expenses. Together, your eligible itemized deductions exceeded X.</t>
  </si>
  <si>
    <t>Add eligible medical expenses and other applicable itemized deductions. Compare combined eligible total against X and use the larger deduction.</t>
  </si>
  <si>
    <t>Homeowner status may contribute mortgage-interest component when applicable.</t>
  </si>
  <si>
    <t>Combining Itemized Deductions</t>
  </si>
  <si>
    <t>One expense does not have to exceed the standard deduction by itself. Several eligible itemized deductions can add up to more than X.</t>
  </si>
  <si>
    <t>Your medical expenses were part of a larger group of eligible deductions. Together they exceeded X, so itemizing gives you the larger deduction.</t>
  </si>
  <si>
    <t>Medical bills + mortgage + donations crossing threshold</t>
  </si>
  <si>
    <t>$8,000 is the headline medical circumstance, not necessarily the final allowable medical deduction. Engine handles eligibility/limits.</t>
  </si>
  <si>
    <t>DED-007</t>
  </si>
  <si>
    <t>Mortgage Interest — $9,000 + Other Deductions</t>
  </si>
  <si>
    <t>You had $9,000 of mortgage interest plus charitable giving and other eligible expenses that pushed your combined itemized deductions above X.</t>
  </si>
  <si>
    <t>Combine eligible mortgage interest with other applicable itemized deductions and compare total with X.</t>
  </si>
  <si>
    <t>Itemizing as a Homeowner</t>
  </si>
  <si>
    <t>Mortgage interest can contribute to itemized deductions, but the combined eligible total determines whether itemizing beats the standard deduction.</t>
  </si>
  <si>
    <t>Your mortgage interest and other eligible deductions combined to exceed X. Itemizing gives you the larger deduction this round.</t>
  </si>
  <si>
    <t>House + receipts crossing threshold</t>
  </si>
  <si>
    <t>Requires homeowner Life Event. Amount is headline mortgage-interest circumstance rather than entire itemized total.</t>
  </si>
  <si>
    <t>DED-008</t>
  </si>
  <si>
    <t>Charitable Giving — $10,000 + Other Deductions</t>
  </si>
  <si>
    <t>You made $10,000 of qualifying charitable contributions and had other eligible expenses that pushed your combined itemized deductions above X.</t>
  </si>
  <si>
    <t>Combine qualifying charitable contribution with other eligible itemized deductions and compare total against X.</t>
  </si>
  <si>
    <t>Charitable Giving &amp; Itemizing</t>
  </si>
  <si>
    <t>Large charitable gifts can contribute to itemized deductions, but the result depends on your total eligible deductions and applicable tax rules.</t>
  </si>
  <si>
    <t>Your charitable giving plus your other eligible deductions exceeded X. Itemizing gives you the larger deduction.</t>
  </si>
  <si>
    <t>Charity + receipts crossing threshold</t>
  </si>
  <si>
    <t>Assume qualifying/documented contribution.</t>
  </si>
  <si>
    <t>DED-009</t>
  </si>
  <si>
    <t>High-Deduction Year — $18,000</t>
  </si>
  <si>
    <t>Several major deductible expenses occurred during the same period, creating $18,000 of eligible itemized deductions before any other applicable amounts.</t>
  </si>
  <si>
    <t>Compare eligible itemized total with current X. Use whichever allowable deduction is larger.</t>
  </si>
  <si>
    <t>High-Deduction Years</t>
  </si>
  <si>
    <t>Your best deduction method can change from year to year. A year with unusually high eligible expenses may make itemizing more valuable.</t>
  </si>
  <si>
    <t>This was a high-deduction year. The app compared your itemized deductions with X and selected the larger allowable deduction.</t>
  </si>
  <si>
    <t>Calendar + large pile of receipts</t>
  </si>
  <si>
    <t>Do not automatically force itemization. Future X could exceed $18,000 depending on tax year/status.</t>
  </si>
  <si>
    <t>DED-010</t>
  </si>
  <si>
    <t>Major Itemized Expenses — $25,000</t>
  </si>
  <si>
    <t>Mortgage interest, charitable contributions, medical expenses, and other eligible items created $25,000 of itemized expenses this round.</t>
  </si>
  <si>
    <t>Calculate allowable itemized deductions and compare with current X. Use the larger allowable deduction.</t>
  </si>
  <si>
    <t>Homeownership may modify narrative/components if active.</t>
  </si>
  <si>
    <t>Choosing the Larger Deduction</t>
  </si>
  <si>
    <t>The standard deduction and allowable itemized deductions are compared. The simulation uses the option that produces the larger allowable deduction.</t>
  </si>
  <si>
    <t>Your eligible itemized deductions were compared with X. The larger allowable deduction will be used to calculate your taxable income.</t>
  </si>
  <si>
    <t>Large receipt pile + balance scale</t>
  </si>
  <si>
    <t>High-deduction scenario. Tax engine remains source of truth rather than card's Above X label.</t>
  </si>
  <si>
    <t>PRE-001</t>
  </si>
  <si>
    <t>Tax Prepayment</t>
  </si>
  <si>
    <t>Very Low</t>
  </si>
  <si>
    <t>Very Little Paid in Advance — 40%</t>
  </si>
  <si>
    <t>Only about 40% of your calculated tax was paid during the year.</t>
  </si>
  <si>
    <t>Tax Prepayment Rate</t>
  </si>
  <si>
    <t>After calculating tax, treat 40% of calculated tax as already paid. Compare total tax with tax prepaid to determine refund or amount due.</t>
  </si>
  <si>
    <t>Corporate Climber may redraw once if prepayment is below 90%.</t>
  </si>
  <si>
    <t>Underpayment</t>
  </si>
  <si>
    <t>Taxes are often paid throughout the year. Employees may have taxes withheld from paychecks, while self-employed people may make estimated tax payments.</t>
  </si>
  <si>
    <t>You prepaid about 40% of your calculated tax. A significant amount remains due when you file.</t>
  </si>
  <si>
    <t>40% payment meter / mostly empty gauge</t>
  </si>
  <si>
    <t>Strong underpayment scenario. Do not treat remaining balance as additional tax.</t>
  </si>
  <si>
    <t>PRE-002</t>
  </si>
  <si>
    <t>Low</t>
  </si>
  <si>
    <t>Not Enough Paid in Advance — 60%</t>
  </si>
  <si>
    <t>About 60% of your calculated tax was paid during the year.</t>
  </si>
  <si>
    <t>Treat 60% of calculated tax as already paid. Compare total tax with tax prepaid.</t>
  </si>
  <si>
    <t>Paying some tax during the year does not guarantee that enough was paid to cover your final tax bill.</t>
  </si>
  <si>
    <t>You prepaid about 60% of your calculated tax. You still have an amount due when you file.</t>
  </si>
  <si>
    <t>60% payment gauge</t>
  </si>
  <si>
    <t>Works with W-2 or business income. Penalties are handled separately.</t>
  </si>
  <si>
    <t>PRE-003</t>
  </si>
  <si>
    <t>Moderately Low</t>
  </si>
  <si>
    <t>Came Up Short — 80%</t>
  </si>
  <si>
    <t>You paid most of your calculated tax during the year, but your payments still came up short.</t>
  </si>
  <si>
    <t>Treat 80% of calculated tax as already paid. Compare total tax with tax prepaid.</t>
  </si>
  <si>
    <t>Amount Due</t>
  </si>
  <si>
    <t>You can pay taxes throughout the year and still owe something when you file if your payments were less than your final calculated tax.</t>
  </si>
  <si>
    <t>You prepaid about 80% of your calculated tax. You'll need to pay the remaining difference when you file.</t>
  </si>
  <si>
    <t>80% gauge / small remaining gap</t>
  </si>
  <si>
    <t>Mild underpayment. Does not automatically trigger an underpayment penalty.</t>
  </si>
  <si>
    <t>PRE-004</t>
  </si>
  <si>
    <t>Slightly Low</t>
  </si>
  <si>
    <t>Almost Covered — 90%</t>
  </si>
  <si>
    <t>Your tax payments were close to your final calculated tax, but you paid slightly less during the year.</t>
  </si>
  <si>
    <t>Treat 90% of calculated tax as already paid. Compare total tax with tax prepaid.</t>
  </si>
  <si>
    <t>No redraw benefit; 90% meets Corporate Climber redraw threshold.</t>
  </si>
  <si>
    <t>Owing a small amount when you file does not necessarily mean your taxes were higher. It may simply mean you paid slightly less during the year.</t>
  </si>
  <si>
    <t>You prepaid about 90% of your calculated tax. You'll settle the remaining difference when you file.</t>
  </si>
  <si>
    <t>Nearly full payment gauge</t>
  </si>
  <si>
    <t>Near-target scenario. Keep separate from actual penalty rules.</t>
  </si>
  <si>
    <t>PRE-005</t>
  </si>
  <si>
    <t>On Target</t>
  </si>
  <si>
    <t>Right on Target — 100%</t>
  </si>
  <si>
    <t>Your payments during the year closely matched your final calculated tax.</t>
  </si>
  <si>
    <t>Treat 100% of calculated tax as already paid. Filing result should be approximately $0 before other applicable effects.</t>
  </si>
  <si>
    <t>No special pathway action needed.</t>
  </si>
  <si>
    <t>Balanced Tax Payments</t>
  </si>
  <si>
    <t>Paying close to the amount ultimately owed can mean neither a large refund nor a large balance due.</t>
  </si>
  <si>
    <t>Your tax payments closely matched your calculated tax. You're approximately even when you file.</t>
  </si>
  <si>
    <t>Balanced scale / 100% gauge</t>
  </si>
  <si>
    <t>Neutral outcome. Do not present a $0 refund as losing.</t>
  </si>
  <si>
    <t>PRE-006</t>
  </si>
  <si>
    <t>Slightly High</t>
  </si>
  <si>
    <t>A Little Extra Paid — 105%</t>
  </si>
  <si>
    <t>You paid slightly more during the year than your final calculated tax.</t>
  </si>
  <si>
    <t>Treat 105% of calculated tax as already paid. Excess tax prepaid becomes simulated refund.</t>
  </si>
  <si>
    <t>Refund</t>
  </si>
  <si>
    <t>A refund generally means you paid more toward your taxes during the year than your final tax calculation required.</t>
  </si>
  <si>
    <t>You prepaid about 105% of your calculated tax. The extra amount comes back to you as a refund.</t>
  </si>
  <si>
    <t>105% gauge / small refund arrow</t>
  </si>
  <si>
    <t>Small-refund scenario.</t>
  </si>
  <si>
    <t>PRE-007</t>
  </si>
  <si>
    <t>High</t>
  </si>
  <si>
    <t>Extra Paid Throughout the Year — 115%</t>
  </si>
  <si>
    <t>Your payments during the year exceeded your final calculated tax.</t>
  </si>
  <si>
    <t>Treat 115% of calculated tax as already paid. Excess tax prepaid becomes simulated refund.</t>
  </si>
  <si>
    <t>A tax refund is generally money you already paid that exceeded your final tax obligation. It is not automatically bonus money.</t>
  </si>
  <si>
    <t>You prepaid about 115% of your calculated tax. The excess becomes your refund.</t>
  </si>
  <si>
    <t>115% gauge / money returning</t>
  </si>
  <si>
    <t>Important misconception-busting card.</t>
  </si>
  <si>
    <t>PRE-008</t>
  </si>
  <si>
    <t>Very High</t>
  </si>
  <si>
    <t>Much More Paid Than Needed — 130%</t>
  </si>
  <si>
    <t>You paid considerably more during the year than your final calculated tax required.</t>
  </si>
  <si>
    <t>Treat 130% of calculated tax as already paid. Excess tax prepaid becomes simulated refund.</t>
  </si>
  <si>
    <t>Large Refund &amp; Cash Flow</t>
  </si>
  <si>
    <t>A larger refund can feel good, but it may also mean you had less of your own money available during the year.</t>
  </si>
  <si>
    <t>You prepaid about 130% of your calculated tax. You'll receive the excess back as a larger refund.</t>
  </si>
  <si>
    <t>130% gauge / refund + calendar</t>
  </si>
  <si>
    <t>Do not describe large refund as automatically good or bad. Focus on cash-flow tradeoff.</t>
  </si>
  <si>
    <t>PRE-009</t>
  </si>
  <si>
    <t>Adjusted</t>
  </si>
  <si>
    <t>You Adjusted Mid-Year — 100%</t>
  </si>
  <si>
    <t>You noticed your tax payments were off track and changed them during the year.</t>
  </si>
  <si>
    <t>Treat final tax prepayments as approximately 100% of calculated tax after a mid-year adjustment.</t>
  </si>
  <si>
    <t>Adjusting Tax Payments</t>
  </si>
  <si>
    <t>Tax payments can be adjusted when income or life circumstances change. Employees may update withholding, while self-employed people may adjust estimated payments.</t>
  </si>
  <si>
    <t>You adjusted your tax payments during the year and finished close to your final calculated tax.</t>
  </si>
  <si>
    <t>Adjustment sliders / paycheck + estimated-payment icons</t>
  </si>
  <si>
    <t>Important card because it teaches that prepayment is something taxpayers can actively manage.</t>
  </si>
  <si>
    <t>PRE-010</t>
  </si>
  <si>
    <t>Nothing Paid in Advance — 0%</t>
  </si>
  <si>
    <t>No federal income tax was paid toward your simulated tax obligation during the year.</t>
  </si>
  <si>
    <t>Treat $0 as tax paid in advance. Calculated tax remains due at filing before other applicable effects.</t>
  </si>
  <si>
    <t>Corporate Climber may redraw once because prepayment is below 90%.</t>
  </si>
  <si>
    <t>No Prepayment</t>
  </si>
  <si>
    <t>If no tax is paid during the year, the tax obligation does not disappear. Employees and business owners are both responsible for making sure enough tax is paid.</t>
  </si>
  <si>
    <t>You paid nothing toward your calculated tax during the year. Your calculated tax remains due when you file.</t>
  </si>
  <si>
    <t>Empty 0% gauge / unpaid tax bill</t>
  </si>
  <si>
    <t>Do not label as a 1099-only outcome. Any income pathway can encounter insufficient prepayment in the game. Penalties handled separately.</t>
  </si>
  <si>
    <t xml:space="preserve"> WILD-001 </t>
  </si>
  <si>
    <t xml:space="preserve"> Wildcard </t>
  </si>
  <si>
    <t xml:space="preserve"> Income </t>
  </si>
  <si>
    <t xml:space="preserve"> Purple </t>
  </si>
  <si>
    <t xml:space="preserve"> Surprise Work Bonus </t>
  </si>
  <si>
    <t xml:space="preserve"> Great news! Your employer rewards you with an unexpected $7,500 bonus. </t>
  </si>
  <si>
    <t xml:space="preserve"> Add W-2 Income </t>
  </si>
  <si>
    <t xml:space="preserve"> W-2 Wages </t>
  </si>
  <si>
    <t xml:space="preserve"> Add $7,500 to W-2 income for this round. Include it when calculating the player's total income and tax. </t>
  </si>
  <si>
    <t xml:space="preserve"> None </t>
  </si>
  <si>
    <t xml:space="preserve"> Regular-Life Rounds </t>
  </si>
  <si>
    <t xml:space="preserve"> No </t>
  </si>
  <si>
    <t xml:space="preserve"> Bonuses &amp; Taxable Income </t>
  </si>
  <si>
    <t xml:space="preserve"> A work bonus is extra income. Even though it wasn't part of your regular salary, it still affects your tax situation. </t>
  </si>
  <si>
    <t xml:space="preserve"> Nice bonus! $7,500 has been added to your W-2 income for this round. </t>
  </si>
  <si>
    <t xml:space="preserve"> Celebration + paycheck / bonus envelope </t>
  </si>
  <si>
    <t xml:space="preserve"> Add to existing W-2 income rather than replace Income card. </t>
  </si>
  <si>
    <t xml:space="preserve"> Yes </t>
  </si>
  <si>
    <t xml:space="preserve"> WILD-002 </t>
  </si>
  <si>
    <t xml:space="preserve"> Big Freelance Gig </t>
  </si>
  <si>
    <t xml:space="preserve"> A side project takes off and you earn $10,000 of net freelance income. </t>
  </si>
  <si>
    <t xml:space="preserve"> Add Business Income </t>
  </si>
  <si>
    <t xml:space="preserve"> Business Net Income </t>
  </si>
  <si>
    <t xml:space="preserve"> Add $10,000 of net business income this round. This is additional income and does not replace the player's primary Income card. </t>
  </si>
  <si>
    <t xml:space="preserve"> Business Income </t>
  </si>
  <si>
    <t xml:space="preserve"> Entrepreneur pathway rules apply separately. </t>
  </si>
  <si>
    <t xml:space="preserve"> Multiple Income Sources </t>
  </si>
  <si>
    <t xml:space="preserve"> You can have more than one type of income at the same time. Freelance income can create different tax responsibilities than employee wages. </t>
  </si>
  <si>
    <t xml:space="preserve"> Your freelance gig added $10,000 of net business income this round. </t>
  </si>
  <si>
    <t xml:space="preserve"> Laptop + freelance project / money </t>
  </si>
  <si>
    <t xml:space="preserve"> Can be drawn by W-2 or business player. W-2 player now has mixed income sources. </t>
  </si>
  <si>
    <t xml:space="preserve"> WILD-003 </t>
  </si>
  <si>
    <t xml:space="preserve"> Windfall </t>
  </si>
  <si>
    <t xml:space="preserve"> Unexpected Inheritance </t>
  </si>
  <si>
    <t xml:space="preserve"> You receive a $25,000 inheritance from a family member. </t>
  </si>
  <si>
    <t xml:space="preserve"> Add Financial Resources </t>
  </si>
  <si>
    <t xml:space="preserve"> Inheritance </t>
  </si>
  <si>
    <t xml:space="preserve"> Add $25,000 to simulated financial resources, but do not automatically add it to ordinary taxable income. </t>
  </si>
  <si>
    <t xml:space="preserve"> Not All Money Is Wages </t>
  </si>
  <si>
    <t xml:space="preserve"> Receiving money does not always mean it is taxed the same way as wages or business income. The source of money matters. </t>
  </si>
  <si>
    <t xml:space="preserve"> You received a $25,000 inheritance. Your financial resources increased, but the game does not treat the inheritance itself as ordinary wage income. </t>
  </si>
  <si>
    <t xml:space="preserve"> Inheritance envelope / family keepsake </t>
  </si>
  <si>
    <t xml:space="preserve"> Requires financial-resource concept if game tracks cash/wealth. Do not automatically treat inheritance itself as ordinary income. </t>
  </si>
  <si>
    <t xml:space="preserve"> WILD-004 </t>
  </si>
  <si>
    <t xml:space="preserve"> Expense </t>
  </si>
  <si>
    <t xml:space="preserve"> Unexpected Expense — $5,000 </t>
  </si>
  <si>
    <t xml:space="preserve"> Life happens. You face an unexpected $5,000 expense. Whether it affects your taxes depends on what kind of expense it is. </t>
  </si>
  <si>
    <t xml:space="preserve"> Conditional Expense </t>
  </si>
  <si>
    <t xml:space="preserve"> Business or Personal Expense </t>
  </si>
  <si>
    <t xml:space="preserve"> If tied to an eligible business activity, engine may reduce applicable business net income under simplified game rules. If personal, reduce financial resources only and do not automatically create a tax deduction. </t>
  </si>
  <si>
    <t xml:space="preserve"> Business-income players may receive business-expense treatment when game conditions qualify. </t>
  </si>
  <si>
    <t xml:space="preserve"> Business vs. Personal Expenses </t>
  </si>
  <si>
    <t xml:space="preserve"> A big expense is not automatically tax deductible. Business and personal expenses can receive very different tax treatment. </t>
  </si>
  <si>
    <t xml:space="preserve"> The $5,000 expense has been classified. The app will apply the appropriate business or personal treatment. </t>
  </si>
  <si>
    <t xml:space="preserve"> Broken laptop / car repair / surprise bill </t>
  </si>
  <si>
    <t xml:space="preserve"> App needs a simple choice or context rule: Business Expense vs Personal Expense. Avoid implying every business expense is deductible. </t>
  </si>
  <si>
    <t xml:space="preserve"> WILD-005 </t>
  </si>
  <si>
    <t xml:space="preserve"> Education </t>
  </si>
  <si>
    <t xml:space="preserve"> Education Opportunity </t>
  </si>
  <si>
    <t xml:space="preserve"> You spend $4,000 on an eligible education opportunity that may qualify for a tax benefit. </t>
  </si>
  <si>
    <t xml:space="preserve"> Education Benefit Trigger </t>
  </si>
  <si>
    <t xml:space="preserve"> Education Tax Benefit </t>
  </si>
  <si>
    <t xml:space="preserve"> Send $4,000 qualifying education expense to tax engine. Evaluate the applicable education benefit using current Tax Rules rather than hard-coding a benefit onto the card. </t>
  </si>
  <si>
    <t xml:space="preserve"> Student pathway may receive an additional rule or advantage later. </t>
  </si>
  <si>
    <t xml:space="preserve"> Credits vs. Deductions </t>
  </si>
  <si>
    <t xml:space="preserve"> Education expenses can sometimes qualify for special tax benefits. A tax credit and a tax deduction are not the same thing. </t>
  </si>
  <si>
    <t xml:space="preserve"> You had $4,000 of qualifying education expenses. The app will check the current rules to determine what tax benefit applies. </t>
  </si>
  <si>
    <t xml:space="preserve"> Graduation cap + tuition statement </t>
  </si>
  <si>
    <t xml:space="preserve"> Do not hard-code a particular education credit. Tax Rules sheet determines eligibility/value for selected tax year. </t>
  </si>
  <si>
    <t xml:space="preserve"> WILD-006 </t>
  </si>
  <si>
    <t xml:space="preserve"> Audit </t>
  </si>
  <si>
    <t xml:space="preserve"> Audit Trigger </t>
  </si>
  <si>
    <t xml:space="preserve"> Your tax return has been selected for additional review. Time to check the records. </t>
  </si>
  <si>
    <t xml:space="preserve"> </t>
  </si>
  <si>
    <t xml:space="preserve"> Trigger Audit </t>
  </si>
  <si>
    <t xml:space="preserve"> Trigger the separate Audit Result mechanic. Do not automatically assess additional tax or a penalty. </t>
  </si>
  <si>
    <t xml:space="preserve"> Trigger </t>
  </si>
  <si>
    <t xml:space="preserve"> Pathway audit modifiers apply before resolving audit if applicable. </t>
  </si>
  <si>
    <t xml:space="preserve"> All Applicable Rounds </t>
  </si>
  <si>
    <t xml:space="preserve"> What an Audit Means </t>
  </si>
  <si>
    <t xml:space="preserve"> Being selected for an audit does not automatically mean you did something wrong. The result depends on the return and the records supporting it. </t>
  </si>
  <si>
    <t xml:space="preserve"> Your return has been selected for review. Draw or activate an Audit Result to see what happens next. </t>
  </si>
  <si>
    <t xml:space="preserve"> Magnifying glass + tax return </t>
  </si>
  <si>
    <t xml:space="preserve"> This card triggers audit resolution only. Audit consequences belong in separate Audit Result deck/system. </t>
  </si>
  <si>
    <t xml:space="preserve"> WILD-007 </t>
  </si>
  <si>
    <t xml:space="preserve"> Investment </t>
  </si>
  <si>
    <t xml:space="preserve"> Starter Investment </t>
  </si>
  <si>
    <t xml:space="preserve"> You start investing for the future. Your investment produces a small amount of income over time and grows into a retirement asset. </t>
  </si>
  <si>
    <t xml:space="preserve"> Acquire Investment </t>
  </si>
  <si>
    <t xml:space="preserve"> Persistent </t>
  </si>
  <si>
    <t xml:space="preserve"> Investment Income </t>
  </si>
  <si>
    <t xml:space="preserve"> Gain one Starter Investment asset. Add $500 of simulated investment income in each future regular-life round. At retirement, add $10,000 to simulated retirement assets/resources. </t>
  </si>
  <si>
    <t xml:space="preserve"> Investor-related pathway rules may modify this asset later if such pathway exists. </t>
  </si>
  <si>
    <t xml:space="preserve"> Starting to Invest </t>
  </si>
  <si>
    <t xml:space="preserve"> Starting small can still matter over time. Investments may produce income while you own them and can become part of your retirement resources. </t>
  </si>
  <si>
    <t xml:space="preserve"> You acquired a Starter Investment. Keep the investment piece. It adds $500 of investment income in future rounds and $10,000 to your retirement resources. </t>
  </si>
  <si>
    <t xml:space="preserve"> Small plant growing from coin / investment token </t>
  </si>
  <si>
    <t xml:space="preserve"> Amount = retirement addition ($10K). Effect Value = recurring future-round income ($500). Player keeps physical investment token through retirement. Values are game simulation, not promised returns. </t>
  </si>
  <si>
    <t xml:space="preserve"> WILD-008 </t>
  </si>
  <si>
    <t xml:space="preserve"> Growing Investment </t>
  </si>
  <si>
    <t xml:space="preserve"> An investment performs steadily over time, producing income now while building resources for retirement. </t>
  </si>
  <si>
    <t xml:space="preserve"> Gain one Growing Investment asset. Add $1,000 of simulated investment income in each future regular-life round. At retirement, add $25,000 to simulated retirement assets/resources. </t>
  </si>
  <si>
    <t xml:space="preserve"> Investor-related pathway rules may modify this asset later. </t>
  </si>
  <si>
    <t xml:space="preserve"> Investment Income &amp; Growth </t>
  </si>
  <si>
    <t xml:space="preserve"> Investments can play two roles: they may produce income while you own them and can also contribute to your long-term retirement resources. </t>
  </si>
  <si>
    <t xml:space="preserve"> Keep this investment. It adds $1,000 of investment income in future rounds and $25,000 to your retirement resources. </t>
  </si>
  <si>
    <t xml:space="preserve"> Growing chart + investment token </t>
  </si>
  <si>
    <t xml:space="preserve"> Amount = $25K retirement addition. Effect Value = $1K recurring income. Does not pay recurring income in acquisition round unless game rules later specify otherwise. </t>
  </si>
  <si>
    <t xml:space="preserve"> WILD-009 </t>
  </si>
  <si>
    <t xml:space="preserve"> Strong Investment Portfolio </t>
  </si>
  <si>
    <t xml:space="preserve"> Long-term investing pays off. Your portfolio produces recurring income and becomes a substantial retirement asset. </t>
  </si>
  <si>
    <t xml:space="preserve"> Gain one Strong Investment Portfolio asset. Add $2,000 of simulated investment income in each future regular-life round. At retirement, add $50,000 to simulated retirement assets/resources. </t>
  </si>
  <si>
    <t xml:space="preserve"> Building Assets </t>
  </si>
  <si>
    <t xml:space="preserve"> Investments can create income in addition to wages or business earnings. Holding assets over time can also affect your financial situation in retirement. </t>
  </si>
  <si>
    <t xml:space="preserve"> Your portfolio adds $2,000 of investment income in future rounds and $50,000 to your retirement resources. Keep the investment piece. </t>
  </si>
  <si>
    <t xml:space="preserve"> Portfolio chart + multiple assets </t>
  </si>
  <si>
    <t xml:space="preserve"> Amount = $50K retirement addition. Effect Value = $2K recurring income. Simulation values are intentionally simplified. </t>
  </si>
  <si>
    <t xml:space="preserve"> WILD-010 </t>
  </si>
  <si>
    <t xml:space="preserve"> Investment Home Run </t>
  </si>
  <si>
    <t xml:space="preserve"> One of your long-term investments performs exceptionally well. It produces significant recurring income and becomes a major retirement asset. </t>
  </si>
  <si>
    <t xml:space="preserve"> Gain one Investment Home Run asset. Add $4,000 of simulated investment income in each future regular-life round. At retirement, add $100,000 to simulated retirement assets/resources. </t>
  </si>
  <si>
    <t xml:space="preserve"> Investment Outcomes </t>
  </si>
  <si>
    <t xml:space="preserve"> Investment outcomes can vary. A successful investment may generate income and increase long-term wealth, but strong results are never guaranteed. </t>
  </si>
  <si>
    <t xml:space="preserve"> Big win! Keep this investment. It adds $4,000 of investment income in future rounds and $100,000 to your retirement resources. </t>
  </si>
  <si>
    <t xml:space="preserve"> Rocketing investment chart / gold investment token </t>
  </si>
  <si>
    <t xml:space="preserve"> Rare/high-value game outcome. Do not imply guaranteed returns. Amount = retirement addition; Effect Value = recurring income. </t>
  </si>
  <si>
    <t>AUD-001</t>
  </si>
  <si>
    <t>Audit Result</t>
  </si>
  <si>
    <t>No Change</t>
  </si>
  <si>
    <t>Dark Gray / Black</t>
  </si>
  <si>
    <t>Everything Checks Out</t>
  </si>
  <si>
    <t>Your return was reviewed. The information was accurate and no changes are needed.</t>
  </si>
  <si>
    <t>Audit No Change</t>
  </si>
  <si>
    <t>Audit</t>
  </si>
  <si>
    <t>End audit with no changes to income, deductions, tax, prepayments, refund, or amount due.</t>
  </si>
  <si>
    <t>Resolved</t>
  </si>
  <si>
    <t>When Audit Triggered</t>
  </si>
  <si>
    <t>Audits Do Not Automatically Mean Errors</t>
  </si>
  <si>
    <t>Being selected for an audit does not automatically mean something is wrong. A review can end with no changes to the return.</t>
  </si>
  <si>
    <t>Everything checks out. Your return stays exactly as filed.</t>
  </si>
  <si>
    <t>Tax return + green checkmark</t>
  </si>
  <si>
    <t>Clean audit outcome. Audit ends immediately.</t>
  </si>
  <si>
    <t>AUD-002</t>
  </si>
  <si>
    <t>Documentation</t>
  </si>
  <si>
    <t>Records to the Rescue</t>
  </si>
  <si>
    <t>Your records and receipts support the information being reviewed. No adjustment is required.</t>
  </si>
  <si>
    <t>Audit Documentation Verified</t>
  </si>
  <si>
    <t>Recordkeeping</t>
  </si>
  <si>
    <t>Treat questioned item as supported. No tax adjustment is made.</t>
  </si>
  <si>
    <t>Keeping organized records can help you support income, expenses, and deductions reported on a tax return.</t>
  </si>
  <si>
    <t>Good records paid off. You supported the questioned information and no change is needed.</t>
  </si>
  <si>
    <t>Receipt folder + checkmark</t>
  </si>
  <si>
    <t>Especially useful if player has deductions, business income, or investments. Does not create a deduction; it only supports an existing item.</t>
  </si>
  <si>
    <t>AUD-003</t>
  </si>
  <si>
    <t>Correction</t>
  </si>
  <si>
    <t>Small Error Correction</t>
  </si>
  <si>
    <t>The review finds a small mistake. Correct the affected information and calculate the return again.</t>
  </si>
  <si>
    <t>Recalculate Return</t>
  </si>
  <si>
    <t>Return Accuracy</t>
  </si>
  <si>
    <t>Select an eligible minor calculation/input error, correct it, and rerun the tax calculation. Correction may increase or decrease the filing result.</t>
  </si>
  <si>
    <t>Resolved After Correction</t>
  </si>
  <si>
    <t>Correcting Tax Errors</t>
  </si>
  <si>
    <t>Finding an error does not automatically mean a penalty. A correction can increase tax, decrease tax, or sometimes change a refund.</t>
  </si>
  <si>
    <t>A small error was found and corrected. Your tax result has been recalculated using the corrected information.</t>
  </si>
  <si>
    <t>Calculator + correction pencil</t>
  </si>
  <si>
    <t>Engine should generate/select a small predefined correction. Do not randomly alter arbitrary tax values.</t>
  </si>
  <si>
    <t>AUD-004</t>
  </si>
  <si>
    <t>Unsupported Deduction</t>
  </si>
  <si>
    <t>Part of an itemized deduction cannot be supported by the required records in this simulation.</t>
  </si>
  <si>
    <t>Reduce Itemized Deduction</t>
  </si>
  <si>
    <t>Remove $2,500 from eligible itemized deductions, then rerun standard-versus-itemized comparison using current X.</t>
  </si>
  <si>
    <t>Resolved After Adjustment</t>
  </si>
  <si>
    <t>Supporting Deductions</t>
  </si>
  <si>
    <t>Claiming a deduction and being able to support it are two different things. Records can matter when deductions are reviewed.</t>
  </si>
  <si>
    <t>$2,500 of your itemized deductions could not be supported. Your deduction and tax calculation will be updated.</t>
  </si>
  <si>
    <t>Receipt with question mark / subtraction symbol</t>
  </si>
  <si>
    <t>If player did not itemize or has no applicable deduction, redraw or use context-aware audit result selection.</t>
  </si>
  <si>
    <t>AUD-005</t>
  </si>
  <si>
    <t>Standard Deduction Now Wins</t>
  </si>
  <si>
    <t>A questioned itemized deduction is removed. Your remaining itemized deductions are now below X.</t>
  </si>
  <si>
    <t>Recalculate Deduction Method</t>
  </si>
  <si>
    <t>Reduce applicable itemized deduction enough to require a new comparison. If remaining allowable itemized deductions are below X, switch player to standard deduction.</t>
  </si>
  <si>
    <t>Your deduction choice can change when the facts change. If allowable itemized deductions fall below the standard deduction, the standard deduction may become the better option.</t>
  </si>
  <si>
    <t>After the audit adjustment, your itemized deductions are below X. The simulation now uses your standard deduction.</t>
  </si>
  <si>
    <t>Balance scale tipping from itemized to standard</t>
  </si>
  <si>
    <t>Only eligible when player originally itemized. Context-aware selection strongly preferred over redraw.</t>
  </si>
  <si>
    <t>AUD-006</t>
  </si>
  <si>
    <t>Unreported Income</t>
  </si>
  <si>
    <t>Income Was Left Out</t>
  </si>
  <si>
    <t>The review discovers $5,000 of taxable income that was not included in the original calculation.</t>
  </si>
  <si>
    <t>Add Taxable Income</t>
  </si>
  <si>
    <t>Other Taxable Income</t>
  </si>
  <si>
    <t>Add $5,000 of taxable income and rerun applicable tax calculations. Do not automatically apply a penalty unless another rule specifically requires one.</t>
  </si>
  <si>
    <t>Reporting Income</t>
  </si>
  <si>
    <t>Income can come from many sources. Leaving taxable income off a return can change the amount of tax owed.</t>
  </si>
  <si>
    <t>The review found $5,000 of taxable income that was missing. Your tax calculation has been updated.</t>
  </si>
  <si>
    <t>Missing document + $5,000 / magnifying glass</t>
  </si>
  <si>
    <t>Generic omitted-income scenario. Additional tax is calculated by engine rather than hard-coded.</t>
  </si>
  <si>
    <t>AUD-007</t>
  </si>
  <si>
    <t>Business Expense</t>
  </si>
  <si>
    <t>Business Expense Questioned</t>
  </si>
  <si>
    <t>A $4,000 expense claimed as a business expense was actually personal or could not be supported.</t>
  </si>
  <si>
    <t>Increase Business Net Income</t>
  </si>
  <si>
    <t>Add $4,000 back to business net income because the expense is disallowed in the simulation. Recalculate tax.</t>
  </si>
  <si>
    <t>Business vs. Personal Expenses</t>
  </si>
  <si>
    <t>Business expenses need to be legitimate business expenses and properly supported. Personal spending does not become deductible just because someone owns a business.</t>
  </si>
  <si>
    <t>$4,000 was added back to your business net income. Your tax calculation will be updated.</t>
  </si>
  <si>
    <t>Business receipt + personal icon / magnifying glass</t>
  </si>
  <si>
    <t>Only eligible when player has business/freelance income. Use context-aware audit-result selection.</t>
  </si>
  <si>
    <t>AUD-008</t>
  </si>
  <si>
    <t>Tax + Penalty</t>
  </si>
  <si>
    <t>Additional Tax + Penalty</t>
  </si>
  <si>
    <t>The review finds a significant problem that results in additional tax and a simulated penalty.</t>
  </si>
  <si>
    <t>Audit Tax Adjustment + Penalty</t>
  </si>
  <si>
    <t>Tax Compliance</t>
  </si>
  <si>
    <t>Apply a predefined audit adjustment, recalculate tax, then calculate any game penalty using the current Tax Rules table. Do not hard-code annual penalty rates on this card.</t>
  </si>
  <si>
    <t>Resolved With Penalty</t>
  </si>
  <si>
    <t>Pathway rules may modify audit consequences if designed later.</t>
  </si>
  <si>
    <t>Tax vs. Penalty</t>
  </si>
  <si>
    <t>Additional tax and a penalty are not the same thing. Additional tax corrects the tax obligation; a penalty is a separate consequence that may apply under specific rules.</t>
  </si>
  <si>
    <t>The audit changed your tax calculation and resulted in a penalty. The app will show the additional tax and penalty separately.</t>
  </si>
  <si>
    <t>Tax bill split into Tax + Penalty</t>
  </si>
  <si>
    <t>Higher-severity audit outcome. Exact penalty belongs in Tax Rules so annual rules can be updated without changing physical cards.</t>
  </si>
  <si>
    <t>Pathway ID</t>
  </si>
  <si>
    <t>Pathway No</t>
  </si>
  <si>
    <t>Pathway Name</t>
  </si>
  <si>
    <t>Short Description</t>
  </si>
  <si>
    <t>Starting Income Type</t>
  </si>
  <si>
    <t>Starting Condition</t>
  </si>
  <si>
    <t>Advantage Name</t>
  </si>
  <si>
    <t>Advantage Rule</t>
  </si>
  <si>
    <t>Challenge Name</t>
  </si>
  <si>
    <t>Challenge Rule</t>
  </si>
  <si>
    <t>Income Rule</t>
  </si>
  <si>
    <t>Life Event Rule</t>
  </si>
  <si>
    <t>Deduction Rule</t>
  </si>
  <si>
    <t>Prepayment Rule</t>
  </si>
  <si>
    <t>Wildcard Rule</t>
  </si>
  <si>
    <t>Audit Rule</t>
  </si>
  <si>
    <t>Retirement Rule</t>
  </si>
  <si>
    <t>Education Focus</t>
  </si>
  <si>
    <t>Result / Story Message</t>
  </si>
  <si>
    <t>PATH-001</t>
  </si>
  <si>
    <t>Corporate Climber</t>
  </si>
  <si>
    <t>Normal rules.</t>
  </si>
  <si>
    <t>PATH-002</t>
  </si>
  <si>
    <t>Entrepreneur</t>
  </si>
  <si>
    <t>Multiple Opportunities</t>
  </si>
  <si>
    <t>Once per regular-life round, you may draw one additional Income card and keep it only if it is Business Income.</t>
  </si>
  <si>
    <t>More Tax Complexity</t>
  </si>
  <si>
    <t>Eligible business expenses may affect net business income when applicable.</t>
  </si>
  <si>
    <t>Normal retirement rules plus accumulated investments.</t>
  </si>
  <si>
    <t>PATH-003</t>
  </si>
  <si>
    <t>Caregiver</t>
  </si>
  <si>
    <t>Family First</t>
  </si>
  <si>
    <t>Dependents &amp; Household Taxes</t>
  </si>
  <si>
    <t>Supporting another person can affect a tax return, but having a dependent does not mean every household expense becomes deductible.</t>
  </si>
  <si>
    <t>PATH-004</t>
  </si>
  <si>
    <t>Home Builder</t>
  </si>
  <si>
    <t>Homeownership becomes an important part of your financial and tax life.</t>
  </si>
  <si>
    <t>Homeowner Head Start</t>
  </si>
  <si>
    <t>You begin the game eligible for homeowner-related deduction scenarios.</t>
  </si>
  <si>
    <t>Itemizing Isn't Automatic</t>
  </si>
  <si>
    <t>Yes — Home piece</t>
  </si>
  <si>
    <t>Buying a home can create tax-relevant expenses, but the standard deduction may still be the better choice.</t>
  </si>
  <si>
    <t>Homeownership gave you additional tax decisions, but owning a home did not automatically mean a bigger deduction.</t>
  </si>
  <si>
    <t>House + tax document</t>
  </si>
  <si>
    <t>PATH-005</t>
  </si>
  <si>
    <t>Lifelong Learner</t>
  </si>
  <si>
    <t>Education and career development remain recurring parts of your financial life.</t>
  </si>
  <si>
    <t>Education Advantage</t>
  </si>
  <si>
    <t>When an Education Opportunity occurs, receive the pathway's enhanced education treatment defined in Tax Rules.</t>
  </si>
  <si>
    <t>Eligibility Matters</t>
  </si>
  <si>
    <t>Education spending does not automatically qualify for a tax benefit.</t>
  </si>
  <si>
    <t>Education Opportunity receives pathway-specific treatment.</t>
  </si>
  <si>
    <t>Education Tax Benefits</t>
  </si>
  <si>
    <t>Education can interact with taxes in several ways, and eligibility rules determine whether a particular tax benefit applies.</t>
  </si>
  <si>
    <t>Investing in education created additional tax decisions throughout your working life.</t>
  </si>
  <si>
    <t>Graduation cap + briefcase</t>
  </si>
  <si>
    <t>PATH-006</t>
  </si>
  <si>
    <t>Side Hustler</t>
  </si>
  <si>
    <t>Two Income Streams</t>
  </si>
  <si>
    <t>Briefcase + laptop / two income arrows</t>
  </si>
  <si>
    <t>PATH-007</t>
  </si>
  <si>
    <t>Investor</t>
  </si>
  <si>
    <t>Building investments is a major part of your long-term financial strategy.</t>
  </si>
  <si>
    <t>Head Start Investing</t>
  </si>
  <si>
    <t>Investment Income Counts</t>
  </si>
  <si>
    <t>Investment income must still be included according to the simulation's investment tax rules.</t>
  </si>
  <si>
    <t>Investment Income &amp; Long-Term Assets</t>
  </si>
  <si>
    <t>Investments can affect taxes during working years while also becoming part of long-term retirement resources.</t>
  </si>
  <si>
    <t>PATH-008</t>
  </si>
  <si>
    <t>Early Retiree</t>
  </si>
  <si>
    <t>Early Retirement</t>
  </si>
  <si>
    <t>Fewer Working Years</t>
  </si>
  <si>
    <t>Yes — Retirement marker</t>
  </si>
  <si>
    <t>Retirement Timing</t>
  </si>
  <si>
    <t>Retirement changes where income comes from and can change how different sources of income interact with taxes.</t>
  </si>
  <si>
    <t>You focus on moving up financially throughout your career.</t>
  </si>
  <si>
    <t>Any Income Card</t>
  </si>
  <si>
    <t>Draw one Income card in Round 1 and use its dollar amount as your starting primary income.</t>
  </si>
  <si>
    <t>Always Climbing</t>
  </si>
  <si>
    <t>Your primary income can never decrease. Each round, draw a new Income card. If its amount is higher than your current primary income, use the new amount. If it is lower, keep your current income amount.</t>
  </si>
  <si>
    <t>Career Plateau</t>
  </si>
  <si>
    <t>A lower Income card does not reduce your income, but it also provides no increase that round.</t>
  </si>
  <si>
    <t>Draw one Income card each regular-life round. Compare its dollar amount with current primary income and use the higher amount. Ignore W-2/business classification when applying the pathway's climbing rule.</t>
  </si>
  <si>
    <t>Income Progression</t>
  </si>
  <si>
    <t>Income does not always move in a straight line, but this pathway simulates a career focused on maintaining or increasing earnings over time.</t>
  </si>
  <si>
    <t>You kept climbing. Even when new opportunities offered less income, you maintained the highest income level you had reached.</t>
  </si>
  <si>
    <t>Career ladder + upward arrow</t>
  </si>
  <si>
    <r>
      <t xml:space="preserve">Store current primary income. Each round use </t>
    </r>
    <r>
      <rPr>
        <sz val="10"/>
        <color theme="1"/>
        <rFont val="Arial Unicode MS"/>
        <family val="2"/>
      </rPr>
      <t>max(currentPrimaryIncome, drawnIncomeAmount)</t>
    </r>
    <r>
      <rPr>
        <sz val="12"/>
        <color theme="1"/>
        <rFont val="Calibri"/>
        <family val="2"/>
      </rPr>
      <t>. Preserve underlying Income card tax classification for tax calculations even though pathway comparison uses only dollar amount.</t>
    </r>
  </si>
  <si>
    <t>You pursue opportunities to earn additional income by building businesses and taking on new ventures.</t>
  </si>
  <si>
    <t>Draw one Income card and use its dollar amount as your primary income.</t>
  </si>
  <si>
    <t>Additional business income may introduce business/self-employment tax rules and additional recordkeeping responsibilities.</t>
  </si>
  <si>
    <t>Primary income may come from either Income category. Once per regular-life round, player may draw one additional Income card and keep it only if it is Business Income.</t>
  </si>
  <si>
    <t>Tax Prepayment applies normally. Business income may involve estimated-payment concepts through Tax Rules.</t>
  </si>
  <si>
    <t>Business-related Wildcards apply normally and may stack with other income.</t>
  </si>
  <si>
    <t>Eligible for business-specific Audit Results when business income is active.</t>
  </si>
  <si>
    <t>Entrepreneurship &amp; Business Income</t>
  </si>
  <si>
    <t>Entrepreneurship can create additional opportunities to earn income, while also introducing different tax responsibilities and recordkeeping needs.</t>
  </si>
  <si>
    <t>Your willingness to pursue new opportunities gave you additional ways to earn income throughout your tax life.</t>
  </si>
  <si>
    <t>Lightbulb + storefront / laptop</t>
  </si>
  <si>
    <t>Maximum one pathway-generated additional Income draw per regular-life round. Preserve tax classification of all retained Income cards.</t>
  </si>
  <si>
    <t>Supporting another person is a lasting part of your financial life.</t>
  </si>
  <si>
    <t>Begin the game with 1 permanent pathway-dependent.</t>
  </si>
  <si>
    <t>You always have at least one dependent throughout the entire game, including retirement.</t>
  </si>
  <si>
    <t>Family Responsibilities</t>
  </si>
  <si>
    <t>Having a dependent does not automatically make household expenses deductible. Applicable tax benefits still depend on Tax Rules.</t>
  </si>
  <si>
    <t>Draw Income cards normally.</t>
  </si>
  <si>
    <t>Start with one permanent pathway-dependent. Life Events may add or remove other dependents, but they cannot reduce the player's total number of dependents below one.</t>
  </si>
  <si>
    <t>Dependent-related tax benefits are evaluated using Tax Rules.</t>
  </si>
  <si>
    <t>Your pathway-dependent remains active during retirement. Applicable dependent-related rules continue to be evaluated by the Tax Rules engine.</t>
  </si>
  <si>
    <t>Yes — Permanent Dependent piece</t>
  </si>
  <si>
    <t>Caring for another person remained part of your financial life from your working years through retirement.</t>
  </si>
  <si>
    <t>Family / caregiver icon</t>
  </si>
  <si>
    <r>
      <t xml:space="preserve">Set </t>
    </r>
    <r>
      <rPr>
        <sz val="10"/>
        <color theme="1"/>
        <rFont val="Arial Unicode MS"/>
        <family val="2"/>
      </rPr>
      <t>minimumDependents = 1</t>
    </r>
    <r>
      <rPr>
        <sz val="12"/>
        <color theme="1"/>
        <rFont val="Calibri"/>
        <family val="2"/>
      </rPr>
      <t xml:space="preserve"> for entire game. Other dependents can be added or removed normally, but total dependents cannot fall below 1.</t>
    </r>
  </si>
  <si>
    <t>Begin the game with Homeowner status active.</t>
  </si>
  <si>
    <t>Owning a home does not automatically mean itemizing is better than taking the standard deduction.</t>
  </si>
  <si>
    <t>If Bought a Home is drawn while already a homeowner, redraw. Sold Home and Began Renting can remove Homeowner status.</t>
  </si>
  <si>
    <t>Mortgage/homeowner-related Deduction cards are eligible while Homeowner status is active. The engine still compares allowable itemized deductions against X.</t>
  </si>
  <si>
    <t>Normal retirement rules plus accumulated investments. Homeowner status continues unless removed by an applicable Life Event.</t>
  </si>
  <si>
    <t>Starting Homeowner status persists until removed by an applicable Life Event. Homeownership enables scenarios; it does not automatically force itemization.</t>
  </si>
  <si>
    <t>Begin with normal income rules and Education Eligibility status active.</t>
  </si>
  <si>
    <t>Education-related benefits are evaluated using current Tax Rules.</t>
  </si>
  <si>
    <t>Do not hard-code an education credit or deduction amount here. Tax Rules should define the applicable benefit so annual law changes can be updated separately.</t>
  </si>
  <si>
    <t>You earn money from multiple sources, and those income sources can change throughout your career.</t>
  </si>
  <si>
    <t>Any Income Cards</t>
  </si>
  <si>
    <t>Draw two Income cards each regular-life round.</t>
  </si>
  <si>
    <t>Draw two Income cards each regular-life round and use both income amounts. The cards may represent any combination of income types.</t>
  </si>
  <si>
    <t>More Income, More Complexity</t>
  </si>
  <si>
    <t>Both income amounts are included in the player's tax calculation, so multiple income sources may create a more complicated tax situation.</t>
  </si>
  <si>
    <t>Draw exactly two Income cards every regular-life round and add both amounts to total income. Do not require a specific combination of W-2 and Business Income.</t>
  </si>
  <si>
    <t>Apply deduction rules normally. Business-related deductions only apply when the player's current circumstances qualify.</t>
  </si>
  <si>
    <t>Apply Tax Prepayment rules to the player's tax calculation. Different income sources may introduce different prepayment concepts.</t>
  </si>
  <si>
    <t>Income-related Wildcards may add additional income on top of the player's two Income cards.</t>
  </si>
  <si>
    <t>Eligible for business-specific Audit Results whenever applicable business income is active.</t>
  </si>
  <si>
    <t>Multiple Income Sources</t>
  </si>
  <si>
    <t>Careers and side hustles can change over time. A person may earn money from multiple sources, and all applicable income must be considered when calculating taxes.</t>
  </si>
  <si>
    <t>Your income came from multiple sources throughout your career, giving you more income opportunities and more tax situations to manage.</t>
  </si>
  <si>
    <t>Draw exactly 2 Income cards per regular-life round. Total round income includes both. Preserve each card separately so the engine retains its underlying tax classification.</t>
  </si>
  <si>
    <t>Begin the game holding one Starter Investment asset.</t>
  </si>
  <si>
    <t>Start the game with one Starter Investment token. It follows the same recurring-income and retirement rules as WILD-007.</t>
  </si>
  <si>
    <t>Draw Income cards normally and add applicable recurring investment income from held investments.</t>
  </si>
  <si>
    <t>Investment Wildcards stack with your starting investment. You may accumulate multiple investment assets throughout the game.</t>
  </si>
  <si>
    <t>Your starting Starter Investment and all additional acquired investments contribute to retirement according to their defined retirement values.</t>
  </si>
  <si>
    <t>Yes — Starter Investment piece</t>
  </si>
  <si>
    <t>Starting early gave your investments more opportunities to influence both your annual income and your retirement.</t>
  </si>
  <si>
    <t>Investment chart + growing coin/plant</t>
  </si>
  <si>
    <t>Reference WILD-007 Starter Investment rather than duplicating its recurring-income and retirement values. This keeps one source of truth for the asset.</t>
  </si>
  <si>
    <t>You plan your financial life around reaching retirement earlier than other players.</t>
  </si>
  <si>
    <t>Begin under normal working-life rules. Retirement begins one round earlier than normal.</t>
  </si>
  <si>
    <t>Access the Retirement deck beginning in Round 4 instead of waiting until Round 5.</t>
  </si>
  <si>
    <t>Entering retirement earlier means fewer regular working-life rounds before the player's income sources change.</t>
  </si>
  <si>
    <t>Draw Income cards normally during working-life rounds. Once retirement begins, follow the Retirement deck rules instead of the normal primary Income draw.</t>
  </si>
  <si>
    <t>Investments acquired before retirement remain active and carry into retirement.</t>
  </si>
  <si>
    <t>Retirement begins in Round 4. Apply retirement income and accumulated investment rules beginning in Round 4.</t>
  </si>
  <si>
    <t>You reached retirement earlier and experienced the shift from working income to retirement income before the other pathways.</t>
  </si>
  <si>
    <t>Clock + retirement chair / finish-line icon</t>
  </si>
  <si>
    <t>Round 4 retirement is the pathway's defining mechanic. Player accesses Retirement deck one round earlier than standard players.</t>
  </si>
  <si>
    <t>Note ID</t>
  </si>
  <si>
    <t>System / Area</t>
  </si>
  <si>
    <t>Master Developer Note</t>
  </si>
  <si>
    <t>Related Cards / Data</t>
  </si>
  <si>
    <t>Priority</t>
  </si>
  <si>
    <t>DEV-001</t>
  </si>
  <si>
    <t>Card IDs</t>
  </si>
  <si>
    <t>Card IDs are permanent unique identifiers. Do not change an ID after the app begins using it, even if the player-facing card name changes.</t>
  </si>
  <si>
    <t>All Cards</t>
  </si>
  <si>
    <t>DEV-002</t>
  </si>
  <si>
    <t>Card Data</t>
  </si>
  <si>
    <r>
      <t>Amount</t>
    </r>
    <r>
      <rPr>
        <sz val="12"/>
        <color theme="1"/>
        <rFont val="Calibri"/>
        <family val="2"/>
      </rPr>
      <t xml:space="preserve"> and </t>
    </r>
    <r>
      <rPr>
        <sz val="10"/>
        <color theme="1"/>
        <rFont val="Arial Unicode MS"/>
        <family val="2"/>
      </rPr>
      <t>Effect Value</t>
    </r>
    <r>
      <rPr>
        <sz val="12"/>
        <color theme="1"/>
        <rFont val="Calibri"/>
        <family val="2"/>
      </rPr>
      <t xml:space="preserve"> serve different purposes. Amount represents the main dollar amount/quantity shown by the scenario; Effect Value represents the machine-readable value used by the card's effect.</t>
    </r>
  </si>
  <si>
    <t>DEV-003</t>
  </si>
  <si>
    <t>Tax Law</t>
  </si>
  <si>
    <t>Do not hard-code tax-law values onto physical cards when those values may change by tax year. Store changing values in the Tax Rules sheet.</t>
  </si>
  <si>
    <t>All tax-related cards</t>
  </si>
  <si>
    <t>DEV-004</t>
  </si>
  <si>
    <t>Tax Year</t>
  </si>
  <si>
    <t>Every game/session should have a defined Tax Year. The calculation engine uses that Tax Year to select the applicable Tax Rules.</t>
  </si>
  <si>
    <t>Tax Rules / Game Session</t>
  </si>
  <si>
    <t>DEV-005</t>
  </si>
  <si>
    <t>Income Classification</t>
  </si>
  <si>
    <t>Preserve each Income card's underlying tax classification even when a Pathway tells the player to ignore that classification for a pathway mechanic.</t>
  </si>
  <si>
    <t>Income / Pathways</t>
  </si>
  <si>
    <t>DEV-006</t>
  </si>
  <si>
    <t>W-2 Income</t>
  </si>
  <si>
    <r>
      <t xml:space="preserve">W-2 Income card </t>
    </r>
    <r>
      <rPr>
        <sz val="10"/>
        <color theme="1"/>
        <rFont val="Arial Unicode MS"/>
        <family val="2"/>
      </rPr>
      <t>Amount</t>
    </r>
    <r>
      <rPr>
        <sz val="12"/>
        <color theme="1"/>
        <rFont val="Calibri"/>
        <family val="2"/>
      </rPr>
      <t xml:space="preserve"> and </t>
    </r>
    <r>
      <rPr>
        <sz val="10"/>
        <color theme="1"/>
        <rFont val="Arial Unicode MS"/>
        <family val="2"/>
      </rPr>
      <t>Effect Value</t>
    </r>
    <r>
      <rPr>
        <sz val="12"/>
        <color theme="1"/>
        <rFont val="Calibri"/>
        <family val="2"/>
      </rPr>
      <t xml:space="preserve"> represent wages for the simulated year/round. Tax prepayment is handled separately.</t>
    </r>
  </si>
  <si>
    <t>INC-W2-*</t>
  </si>
  <si>
    <t>DEV-007</t>
  </si>
  <si>
    <r>
      <t xml:space="preserve">Business Income card amounts represent </t>
    </r>
    <r>
      <rPr>
        <b/>
        <sz val="12"/>
        <color theme="1"/>
        <rFont val="Calibri"/>
        <family val="2"/>
      </rPr>
      <t>net business income</t>
    </r>
    <r>
      <rPr>
        <sz val="12"/>
        <color theme="1"/>
        <rFont val="Calibri"/>
        <family val="2"/>
      </rPr>
      <t>, not gross revenue.</t>
    </r>
  </si>
  <si>
    <t>INC-BIZ-*</t>
  </si>
  <si>
    <t>DEV-008</t>
  </si>
  <si>
    <t>Business Tax</t>
  </si>
  <si>
    <t>Do not bake self-employment/business tax calculations into Income cards. The calculation belongs in the Tax Rules/calculation engine.</t>
  </si>
  <si>
    <t>DEV-009</t>
  </si>
  <si>
    <t>Multiple Income</t>
  </si>
  <si>
    <t>Players may have multiple simultaneous income sources. Preserve individual sources in game state rather than collapsing everything into one anonymous income number.</t>
  </si>
  <si>
    <t>Entrepreneur, Side Hustler, Wildcards</t>
  </si>
  <si>
    <t>DEV-010</t>
  </si>
  <si>
    <t>Round Income</t>
  </si>
  <si>
    <t>Income effects from Wildcards are added to the player's regular Income card(s); they do not replace the primary Income draw unless a rule explicitly says otherwise.</t>
  </si>
  <si>
    <t>WILD-001, WILD-002</t>
  </si>
  <si>
    <t>Medium</t>
  </si>
  <si>
    <t>DEV-011</t>
  </si>
  <si>
    <r>
      <t xml:space="preserve">Store the player's highest primary Income amount. Each regular-life round use </t>
    </r>
    <r>
      <rPr>
        <sz val="10"/>
        <color theme="1"/>
        <rFont val="Arial Unicode MS"/>
        <family val="2"/>
      </rPr>
      <t>max(currentPrimaryIncome, newlyDrawnIncomeAmount)</t>
    </r>
    <r>
      <rPr>
        <sz val="12"/>
        <color theme="1"/>
        <rFont val="Calibri"/>
        <family val="2"/>
      </rPr>
      <t>.</t>
    </r>
  </si>
  <si>
    <t>DEV-012</t>
  </si>
  <si>
    <t>W-2/business classification is ignored only when deciding whether the newly drawn Income amount replaces the Corporate Climber's current amount. Preserve classification for tax calculations.</t>
  </si>
  <si>
    <t>DEV-013</t>
  </si>
  <si>
    <t>Entrepreneur receives at most one pathway-generated additional Income draw per regular-life round. The additional card is kept only when it meets the pathway's Business Income condition.</t>
  </si>
  <si>
    <t>DEV-014</t>
  </si>
  <si>
    <t>Side Hustler draws exactly two regular Income cards per regular-life round. Both amounts count toward income. Preserve the cards as separate income sources.</t>
  </si>
  <si>
    <t>DEV-015</t>
  </si>
  <si>
    <t>Track pathway dependents separately from Life Event dependents so permanent/guaranteed dependents cannot accidentally be removed.</t>
  </si>
  <si>
    <t>Caregiver / Life Events</t>
  </si>
  <si>
    <t>DEV-016</t>
  </si>
  <si>
    <r>
      <t xml:space="preserve">Caregiver has </t>
    </r>
    <r>
      <rPr>
        <sz val="10"/>
        <color theme="1"/>
        <rFont val="Arial Unicode MS"/>
        <family val="2"/>
      </rPr>
      <t>minimumDependents = 1</t>
    </r>
    <r>
      <rPr>
        <sz val="12"/>
        <color theme="1"/>
        <rFont val="Calibri"/>
        <family val="2"/>
      </rPr>
      <t xml:space="preserve"> for the entire game, including retirement. Other dependents may be added or removed, but total dependents cannot fall below one.</t>
    </r>
  </si>
  <si>
    <t>DEV-017</t>
  </si>
  <si>
    <t>Adding a dependent does not automatically create a fixed-dollar tax benefit. Applicable benefits are determined by Tax Rules and player eligibility.</t>
  </si>
  <si>
    <t>LIFE-001, 002, 008, 010 / Caregiver</t>
  </si>
  <si>
    <t>DEV-018</t>
  </si>
  <si>
    <t>Marriage changes player filing status/game state. The applicable standard deduction and other rules are then retrieved from Tax Rules.</t>
  </si>
  <si>
    <t>LIFE-003, LIFE-007</t>
  </si>
  <si>
    <t>DEV-019</t>
  </si>
  <si>
    <t>Divorce changes filing status but does not automatically remove dependents. These are separate pieces of player state.</t>
  </si>
  <si>
    <t>DEV-020</t>
  </si>
  <si>
    <r>
      <t xml:space="preserve">Track </t>
    </r>
    <r>
      <rPr>
        <sz val="10"/>
        <color theme="1"/>
        <rFont val="Arial Unicode MS"/>
        <family val="2"/>
      </rPr>
      <t>homeownerStatus</t>
    </r>
    <r>
      <rPr>
        <sz val="12"/>
        <color theme="1"/>
        <rFont val="Calibri"/>
        <family val="2"/>
      </rPr>
      <t xml:space="preserve"> separately in player state. Buying a home activates it; selling the home and beginning to rent removes it.</t>
    </r>
  </si>
  <si>
    <t>LIFE-005, LIFE-009 / Home Builder</t>
  </si>
  <si>
    <t>DEV-021</t>
  </si>
  <si>
    <t>Home Builder starts with Homeowner status. Homeownership enables homeowner-related scenarios but does not automatically make itemizing better.</t>
  </si>
  <si>
    <t>DEV-022</t>
  </si>
  <si>
    <t>Deduction Engine</t>
  </si>
  <si>
    <r>
      <t xml:space="preserve">Always calculate both applicable choices and use the greater allowable deduction: </t>
    </r>
    <r>
      <rPr>
        <sz val="10"/>
        <color theme="1"/>
        <rFont val="Arial Unicode MS"/>
        <family val="2"/>
      </rPr>
      <t>max(standardDeduction, eligibleItemizedDeductions)</t>
    </r>
    <r>
      <rPr>
        <sz val="12"/>
        <color theme="1"/>
        <rFont val="Calibri"/>
        <family val="2"/>
      </rPr>
      <t>.</t>
    </r>
  </si>
  <si>
    <t>Deduction system</t>
  </si>
  <si>
    <t>DEV-023</t>
  </si>
  <si>
    <r>
      <t>X</t>
    </r>
    <r>
      <rPr>
        <sz val="12"/>
        <color theme="1"/>
        <rFont val="Calibri"/>
        <family val="2"/>
      </rPr>
      <t xml:space="preserve"> means the standard deduction supplied by Tax Rules for the applicable tax year and filing status. Do not store a universal X value on Deduction cards.</t>
    </r>
  </si>
  <si>
    <t>DED-*</t>
  </si>
  <si>
    <t>DEV-024</t>
  </si>
  <si>
    <t>Above/Below X</t>
  </si>
  <si>
    <r>
      <t>Below X</t>
    </r>
    <r>
      <rPr>
        <sz val="12"/>
        <color theme="1"/>
        <rFont val="Calibri"/>
        <family val="2"/>
      </rPr>
      <t xml:space="preserve"> and </t>
    </r>
    <r>
      <rPr>
        <sz val="10"/>
        <color theme="1"/>
        <rFont val="Arial Unicode MS"/>
        <family val="2"/>
      </rPr>
      <t>Above X</t>
    </r>
    <r>
      <rPr>
        <sz val="12"/>
        <color theme="1"/>
        <rFont val="Calibri"/>
        <family val="2"/>
      </rPr>
      <t xml:space="preserve"> are scenario-design classifications, not commands to the calculation engine. The engine must still perform the actual comparison.</t>
    </r>
  </si>
  <si>
    <t>DEV-025</t>
  </si>
  <si>
    <t>Headline amounts on Deduction cards are scenario amounts and may not equal the final allowable federal deduction. Eligibility and limitations are handled by Tax Rules.</t>
  </si>
  <si>
    <t>DEV-026</t>
  </si>
  <si>
    <t>Medical Expenses</t>
  </si>
  <si>
    <t>A Medical Expenses card's headline dollar amount should not automatically be treated as the allowable medical deduction. Apply the applicable Tax Rules/simplification first.</t>
  </si>
  <si>
    <t>DED-001, DED-005, DED-006</t>
  </si>
  <si>
    <t>DEV-027</t>
  </si>
  <si>
    <t>Homeowner Deductions</t>
  </si>
  <si>
    <t>Mortgage/homeowner Deduction cards require active Homeowner status. If using physical draws, an ineligible player redraws unless the app later provides context-aware selection.</t>
  </si>
  <si>
    <t>Mortgage-related DED cards</t>
  </si>
  <si>
    <t>DEV-028</t>
  </si>
  <si>
    <t>Tax Prepayment replaces the old game concept of a generic “Withholding” deck because both employees and self-employed players can use the same mechanic.</t>
  </si>
  <si>
    <t>PRE-*</t>
  </si>
  <si>
    <t>DEV-029</t>
  </si>
  <si>
    <t>Prepayment is represented as a percentage of calculated tax, not a fixed dollar amount.</t>
  </si>
  <si>
    <t>DEV-030</t>
  </si>
  <si>
    <t>Prepayment Formula</t>
  </si>
  <si>
    <r>
      <t xml:space="preserve">Base calculation: </t>
    </r>
    <r>
      <rPr>
        <sz val="10"/>
        <color theme="1"/>
        <rFont val="Arial Unicode MS"/>
        <family val="2"/>
      </rPr>
      <t>taxPrepaid = calculatedTax × prepaymentRate</t>
    </r>
    <r>
      <rPr>
        <sz val="12"/>
        <color theme="1"/>
        <rFont val="Calibri"/>
        <family val="2"/>
      </rPr>
      <t>.</t>
    </r>
  </si>
  <si>
    <t>DEV-031</t>
  </si>
  <si>
    <t>Filing Balance</t>
  </si>
  <si>
    <r>
      <t xml:space="preserve">Base calculation: </t>
    </r>
    <r>
      <rPr>
        <sz val="10"/>
        <color theme="1"/>
        <rFont val="Arial Unicode MS"/>
        <family val="2"/>
      </rPr>
      <t>filingBalance = taxPrepaid - calculatedTax</t>
    </r>
    <r>
      <rPr>
        <sz val="12"/>
        <color theme="1"/>
        <rFont val="Calibri"/>
        <family val="2"/>
      </rPr>
      <t>. Positive = refund; negative = amount due; approximately zero = on target.</t>
    </r>
  </si>
  <si>
    <t>DEV-032</t>
  </si>
  <si>
    <t>Refunds</t>
  </si>
  <si>
    <r>
      <t xml:space="preserve">A refund is </t>
    </r>
    <r>
      <rPr>
        <b/>
        <sz val="12"/>
        <color theme="1"/>
        <rFont val="Calibri"/>
        <family val="2"/>
      </rPr>
      <t>not a score or reward</t>
    </r>
    <r>
      <rPr>
        <sz val="12"/>
        <color theme="1"/>
        <rFont val="Calibri"/>
        <family val="2"/>
      </rPr>
      <t>. It represents tax prepayments exceeding the calculated tax obligation.</t>
    </r>
  </si>
  <si>
    <t>Tax Prepayment / Results</t>
  </si>
  <si>
    <t>DEV-033</t>
  </si>
  <si>
    <t>An amount due is not automatically a penalty. It represents calculated tax exceeding tax already prepaid.</t>
  </si>
  <si>
    <t>DEV-034</t>
  </si>
  <si>
    <t>Penalties</t>
  </si>
  <si>
    <t>Penalties are separate from underlying tax and should only be applied when a specific game/tax rule calls for them.</t>
  </si>
  <si>
    <t>Audit / Tax Rules</t>
  </si>
  <si>
    <t>DEV-035</t>
  </si>
  <si>
    <r>
      <t xml:space="preserve">Investment tokens represent persistent </t>
    </r>
    <r>
      <rPr>
        <b/>
        <sz val="12"/>
        <color theme="1"/>
        <rFont val="Calibri"/>
        <family val="2"/>
      </rPr>
      <t>assets</t>
    </r>
    <r>
      <rPr>
        <sz val="12"/>
        <color theme="1"/>
        <rFont val="Calibri"/>
        <family val="2"/>
      </rPr>
      <t>, not game currency, points, or score.</t>
    </r>
  </si>
  <si>
    <t>WILD-007–010 / Investor</t>
  </si>
  <si>
    <t>DEV-036</t>
  </si>
  <si>
    <t>Players may accumulate multiple investment assets. Each asset should remain individually identifiable in player state.</t>
  </si>
  <si>
    <t>WILD-007–010</t>
  </si>
  <si>
    <t>DEV-037</t>
  </si>
  <si>
    <t>Investment Timing</t>
  </si>
  <si>
    <r>
      <t xml:space="preserve">Recurring investment income begins in the round </t>
    </r>
    <r>
      <rPr>
        <b/>
        <sz val="12"/>
        <color theme="1"/>
        <rFont val="Calibri"/>
        <family val="2"/>
      </rPr>
      <t>after</t>
    </r>
    <r>
      <rPr>
        <sz val="12"/>
        <color theme="1"/>
        <rFont val="Calibri"/>
        <family val="2"/>
      </rPr>
      <t xml:space="preserve"> the investment is acquired unless Game Rules later explicitly change this.</t>
    </r>
  </si>
  <si>
    <t>DEV-038</t>
  </si>
  <si>
    <t>Investment Duration</t>
  </si>
  <si>
    <t>Investment assets persist through the remainder of regular life and into retirement rather than expiring after two rounds.</t>
  </si>
  <si>
    <t>DEV-039</t>
  </si>
  <si>
    <t>Investment Effects</t>
  </si>
  <si>
    <r>
      <t xml:space="preserve">Current Wildcard structure uses </t>
    </r>
    <r>
      <rPr>
        <sz val="10"/>
        <color theme="1"/>
        <rFont val="Arial Unicode MS"/>
        <family val="2"/>
      </rPr>
      <t>Effect Value</t>
    </r>
    <r>
      <rPr>
        <sz val="12"/>
        <color theme="1"/>
        <rFont val="Calibri"/>
        <family val="2"/>
      </rPr>
      <t xml:space="preserve"> for recurring future-round investment income and </t>
    </r>
    <r>
      <rPr>
        <sz val="10"/>
        <color theme="1"/>
        <rFont val="Arial Unicode MS"/>
        <family val="2"/>
      </rPr>
      <t>Amount</t>
    </r>
    <r>
      <rPr>
        <sz val="12"/>
        <color theme="1"/>
        <rFont val="Calibri"/>
        <family val="2"/>
      </rPr>
      <t xml:space="preserve"> for the simulated retirement addition.</t>
    </r>
  </si>
  <si>
    <t>DEV-040</t>
  </si>
  <si>
    <t>Investment Returns</t>
  </si>
  <si>
    <t>Investment amounts are game-balancing/simulation values. Player-facing text must not imply that these returns or outcomes are guaranteed in real life.</t>
  </si>
  <si>
    <t>DEV-041</t>
  </si>
  <si>
    <t>Investment Tax</t>
  </si>
  <si>
    <t>Preserve investment income as a separate income source. Do not assume all investment income receives identical real-world tax treatment.</t>
  </si>
  <si>
    <t>Investment system</t>
  </si>
  <si>
    <t>DEV-042</t>
  </si>
  <si>
    <t>Investor Pathway</t>
  </si>
  <si>
    <t>Investor begins with the same Starter Investment defined by WILD-007. Reference that asset rather than duplicating its values in the Pathways sheet.</t>
  </si>
  <si>
    <t>PATH-007 / WILD-007</t>
  </si>
  <si>
    <t>DEV-043</t>
  </si>
  <si>
    <t>Retirement card totals may contain multiple underlying income/resource components. Preserve those components separately when building the calculation engine.</t>
  </si>
  <si>
    <t>RET-*</t>
  </si>
  <si>
    <t>DEV-044</t>
  </si>
  <si>
    <t>Do not assume all Social Security benefits are taxable. Tax treatment must be determined by the Tax Rules engine/simplification.</t>
  </si>
  <si>
    <r>
      <t>RET-SSA-</t>
    </r>
    <r>
      <rPr>
        <i/>
        <sz val="12"/>
        <color theme="1"/>
        <rFont val="Calibri"/>
        <family val="2"/>
      </rPr>
      <t>, RET-MIX-</t>
    </r>
    <r>
      <rPr>
        <sz val="12"/>
        <color theme="1"/>
        <rFont val="Calibri"/>
        <family val="2"/>
      </rPr>
      <t>, RET-HIGH-*</t>
    </r>
  </si>
  <si>
    <t>DEV-045</t>
  </si>
  <si>
    <t>Retirement Investments</t>
  </si>
  <si>
    <t>Investment retirement additions stack with the player's Retirement scenario; they do not replace the Retirement card.</t>
  </si>
  <si>
    <t>RET-* / Investments</t>
  </si>
  <si>
    <t>DEV-046</t>
  </si>
  <si>
    <t>Early Retiree accesses retirement beginning in Round 4 instead of the standard Round 5 timing.</t>
  </si>
  <si>
    <t>DEV-047</t>
  </si>
  <si>
    <t>Inheritance</t>
  </si>
  <si>
    <t>Do not automatically classify the inheritance Wildcard as ordinary wage income. Keep it separate from ordinary earned income in player state.</t>
  </si>
  <si>
    <t>WILD-003</t>
  </si>
  <si>
    <t>DEV-048</t>
  </si>
  <si>
    <t>DEV-049</t>
  </si>
  <si>
    <t>Unexpected Expense</t>
  </si>
  <si>
    <t>Personal expenses do not automatically create a tax deduction. Business treatment only applies when the simulated expense meets the applicable business rule.</t>
  </si>
  <si>
    <t>WILD-004</t>
  </si>
  <si>
    <t>DEV-050</t>
  </si>
  <si>
    <t>Education</t>
  </si>
  <si>
    <t>Do not hard-code a specific education credit/deduction onto the Education Opportunity card or Lifelong Learner pathway. Resolve the applicable benefit through Tax Rules.</t>
  </si>
  <si>
    <t>WILD-005 / PATH-005</t>
  </si>
  <si>
    <t>DEV-051</t>
  </si>
  <si>
    <t>WILD-006 immediately starts the Audit Result mechanic. It does not itself impose additional tax or a penalty.</t>
  </si>
  <si>
    <t>WILD-006</t>
  </si>
  <si>
    <t>DEV-052</t>
  </si>
  <si>
    <t>Audits</t>
  </si>
  <si>
    <t>Being audited does not automatically mean the player made an error. Audit Results must include no-change outcomes.</t>
  </si>
  <si>
    <t>AUD-*</t>
  </si>
  <si>
    <t>DEV-053</t>
  </si>
  <si>
    <t>Audit Eligibility</t>
  </si>
  <si>
    <t>Not every Audit Result is eligible for every player. Audit results should eventually be filtered using current player state.</t>
  </si>
  <si>
    <t>DEV-054</t>
  </si>
  <si>
    <t>Audit Redraw</t>
  </si>
  <si>
    <t>During physical beta testing, an inapplicable Audit Result may be handled by a redraw. The digital version should preferably filter to eligible results before resolution.</t>
  </si>
  <si>
    <t>DEV-055</t>
  </si>
  <si>
    <t>Audit — Deductions</t>
  </si>
  <si>
    <t>If an audit changes allowable itemized deductions, rerun the standard-versus-itemized comparison. The player may switch back to X if X becomes greater.</t>
  </si>
  <si>
    <t>AUD-004, AUD-005</t>
  </si>
  <si>
    <t>DEV-056</t>
  </si>
  <si>
    <t>Audit — Business</t>
  </si>
  <si>
    <t>Business-specific Audit Results require applicable business/freelance income in the player's current return.</t>
  </si>
  <si>
    <t>DEV-057</t>
  </si>
  <si>
    <t>Audit — Penalty</t>
  </si>
  <si>
    <t>Exact penalty values/rates should live in Tax Rules, not Audit Result cards.</t>
  </si>
  <si>
    <t>DEV-058</t>
  </si>
  <si>
    <t>Game State</t>
  </si>
  <si>
    <t>Persistent states should be stored separately from individual card history: filing status, dependents, homeowner status, investments, pathway, retirement status, etc.</t>
  </si>
  <si>
    <t>Entire game</t>
  </si>
  <si>
    <t>DEV-059</t>
  </si>
  <si>
    <t>Card History</t>
  </si>
  <si>
    <t>Keep a history of cards played/drawn separately from current player state. This supports the Life Ledger and final Tax Life Story.</t>
  </si>
  <si>
    <t>DEV-060</t>
  </si>
  <si>
    <t>Physical Reminders</t>
  </si>
  <si>
    <t>Physical pieces are reminders of persistent states/assets. They are not points, currency, or a substitute for digital game state.</t>
  </si>
  <si>
    <t>Dependents, Home, Investments, Retirement</t>
  </si>
  <si>
    <t>DEV-061</t>
  </si>
  <si>
    <t>Round Sequence</t>
  </si>
  <si>
    <r>
      <t xml:space="preserve">Current regular-life sequence is: </t>
    </r>
    <r>
      <rPr>
        <b/>
        <sz val="12"/>
        <color theme="1"/>
        <rFont val="Calibri"/>
        <family val="2"/>
      </rPr>
      <t>Income → Life Event → Deduction → Tax Prepayment → Wildcard → Audit → Results</t>
    </r>
    <r>
      <rPr>
        <sz val="12"/>
        <color theme="1"/>
        <rFont val="Calibri"/>
        <family val="2"/>
      </rPr>
      <t>.</t>
    </r>
  </si>
  <si>
    <t>Game Rules</t>
  </si>
  <si>
    <t>DEV-062</t>
  </si>
  <si>
    <t>Life Events</t>
  </si>
  <si>
    <t>Life Events occur before Deduction selection because marriage, dependents, and homeownership can change the player's tax circumstances.</t>
  </si>
  <si>
    <t>Round Rules</t>
  </si>
  <si>
    <t>DEV-063</t>
  </si>
  <si>
    <t>Deterministic Engine</t>
  </si>
  <si>
    <t>Actual tax calculations should be deterministic code/rules, not AI-generated calculations.</t>
  </si>
  <si>
    <t>Digital Companion</t>
  </si>
  <si>
    <t>DEV-064</t>
  </si>
  <si>
    <t>AI Role</t>
  </si>
  <si>
    <t>AI, if added later, should primarily explain results, provide reflection, or generate educational narrative—not determine the player's tax liability.</t>
  </si>
  <si>
    <t>DEV-065</t>
  </si>
  <si>
    <t>Life Ledger</t>
  </si>
  <si>
    <t>At the end of each round, save the player's important tax circumstances, calculations, cards/events, and result for the Life Ledger.</t>
  </si>
  <si>
    <t>DEV-066</t>
  </si>
  <si>
    <t>Tax Life Story</t>
  </si>
  <si>
    <t>After Round 5, use accumulated game history to generate the player's “My Tax Life Story.”</t>
  </si>
  <si>
    <t>DEV-067</t>
  </si>
  <si>
    <t>Teacher Data</t>
  </si>
  <si>
    <t>Teacher reporting should focus on aggregate learning/game data rather than collecting unnecessary real-world personal tax information.</t>
  </si>
  <si>
    <t>Teacher Dashboard</t>
  </si>
  <si>
    <t>DEV-068</t>
  </si>
  <si>
    <t>Student Data</t>
  </si>
  <si>
    <t>Beta login can use session code + display name. Do not require students to enter real SSNs, actual income, real tax documents, or other unnecessary sensitive tax information.</t>
  </si>
  <si>
    <t>Authentication / Beta</t>
  </si>
  <si>
    <t>DEV-069</t>
  </si>
  <si>
    <t>Annual Updates</t>
  </si>
  <si>
    <t>Separate physical-card scenarios from annually changing tax rules wherever possible so the physical deck does not need to be reprinted every tax year.</t>
  </si>
  <si>
    <t>Tax Rules / Entire game</t>
  </si>
  <si>
    <t>DEV-070</t>
  </si>
  <si>
    <t>Card Effects Architecture</t>
  </si>
  <si>
    <r>
      <t xml:space="preserve">Some cards now have more than one effect. Consider adding a future </t>
    </r>
    <r>
      <rPr>
        <sz val="10"/>
        <color theme="1"/>
        <rFont val="Arial Unicode MS"/>
        <family val="2"/>
      </rPr>
      <t>Card Effects</t>
    </r>
    <r>
      <rPr>
        <sz val="12"/>
        <color theme="1"/>
        <rFont val="Calibri"/>
        <family val="2"/>
      </rPr>
      <t xml:space="preserve"> sheet with one row per effect instead of continually adding effect columns to Cards.</t>
    </r>
  </si>
  <si>
    <t>Investments, Retirement, future complex cards</t>
  </si>
  <si>
    <t>Architecture Decision</t>
  </si>
  <si>
    <t>DEV-071</t>
  </si>
  <si>
    <t>State Taxes</t>
  </si>
  <si>
    <t>State income-tax mechanics are outside the initial version. Do not introduce state-specific tax effects unless a later expansion explicitly adds them.</t>
  </si>
  <si>
    <t>DEV-072</t>
  </si>
  <si>
    <t>Simplification</t>
  </si>
  <si>
    <t>Whenever the educational simulation intentionally simplifies real tax law, document the simplification in Tax Rules/Developer Notes rather than presenting the simplified rule as universally true.</t>
  </si>
  <si>
    <t>DEV-073</t>
  </si>
  <si>
    <t>Cash / Resources</t>
  </si>
  <si>
    <r>
      <t xml:space="preserve">Maintain a persistent digital </t>
    </r>
    <r>
      <rPr>
        <sz val="10"/>
        <color theme="1"/>
        <rFont val="Arial Unicode MS"/>
        <family val="2"/>
      </rPr>
      <t>Cash / Resources</t>
    </r>
    <r>
      <rPr>
        <sz val="12"/>
        <color theme="1"/>
        <rFont val="Calibri"/>
        <family val="2"/>
      </rPr>
      <t xml:space="preserve"> balance for each player. This represents accumulated financial resources/wealth and carries from round to round.</t>
    </r>
  </si>
  <si>
    <t>Entire Game</t>
  </si>
  <si>
    <t>DEV-074</t>
  </si>
  <si>
    <t>Living Costs</t>
  </si>
  <si>
    <t>Create a separate Living Cost mechanic representing ordinary personal cost of living. Living Costs are calculated as a game-defined percentage of AGI/income.</t>
  </si>
  <si>
    <t>DEV-075</t>
  </si>
  <si>
    <t>Living Costs vs. Tax</t>
  </si>
  <si>
    <t>Living Costs and tax deductions are completely separate calculations. Living Costs affect Cash/Resources; deductions affect taxable income. Do not subtract Living Costs when calculating taxable income unless a separate tax rule specifically permits an expense.</t>
  </si>
  <si>
    <t>Tax Engine / Game Economy</t>
  </si>
  <si>
    <t>DEV-076</t>
  </si>
  <si>
    <t>Do not describe the standard deduction as the player's actual living expenses. In the simulation, it reduces income subject to tax; the separate Living Cost mechanic models personal spending.</t>
  </si>
  <si>
    <t>Deduction / Education</t>
  </si>
  <si>
    <t>DEV-077</t>
  </si>
  <si>
    <t>Retained Resources</t>
  </si>
  <si>
    <t>After applicable income/resources, living costs, taxes, expenses, and other financial effects are processed, a portion of the player's resources remains and carries into future rounds.</t>
  </si>
  <si>
    <t>Results / Life Ledger</t>
  </si>
  <si>
    <t>DEV-078</t>
  </si>
  <si>
    <t>Wealth Accumulation</t>
  </si>
  <si>
    <t>Cash/Resources persists across rounds so the player can see financial resources accumulate or decline over their simulated lifetime.</t>
  </si>
  <si>
    <t>Life Ledger / Final Story</t>
  </si>
  <si>
    <t>DEV-079</t>
  </si>
  <si>
    <t>Tax vs. Wealth</t>
  </si>
  <si>
    <t>Taxable income, final tax liability, Cash/Resources, and wealth are separate values. A player with higher income does not automatically have proportionally higher accumulated resources.</t>
  </si>
  <si>
    <t>DEV-080</t>
  </si>
  <si>
    <t>Personal Expenses</t>
  </si>
  <si>
    <t>Personal expenses may reduce Cash/Resources without reducing taxable income.</t>
  </si>
  <si>
    <t>WILD-004 / future events</t>
  </si>
  <si>
    <t>DEV-081</t>
  </si>
  <si>
    <t>Inheritance can increase Cash/Resources independently from the player's ordinary earned-income calculation. Tax treatment, when applicable, remains a separate Tax Rules question.</t>
  </si>
  <si>
    <t>DEV-082</t>
  </si>
  <si>
    <t>Refund / Amount Due</t>
  </si>
  <si>
    <t>Refunds and amounts due should affect Cash/Resources when the return is settled. A refund increases available resources; an amount due reduces them. Neither is a score.</t>
  </si>
  <si>
    <t>DEV-083</t>
  </si>
  <si>
    <t>Wealth Display</t>
  </si>
  <si>
    <t>Life Ledger should display beginning resources, resources received/earned, living costs, tax settlement, major financial events, amount retained, investments/assets, and ending resources for each round.</t>
  </si>
  <si>
    <t>DEV-084</t>
  </si>
  <si>
    <t>Living Cost Rate</t>
  </si>
  <si>
    <t>Do not hard-code the Living Cost percentage onto physical cards. Store the game-balanced rate in Game Rules so it can be adjusted during playtesting without reprinting cards.</t>
  </si>
  <si>
    <t>Maintain a persistent digital Cash / Resources balance for each player to represent accumulated financial resources and wealth over time. Each round, a game-defined percentage of AGI/income is used to simulate ordinary living costs. Living costs are completely separate from tax deductions and do not reduce taxable income. After living costs, taxes, applicable expenses, and other financial effects are processed, remaining resources carry forward into future rounds as savings/retained resources. Inheritances, refunds, unexpected personal expenses, investments, and other applicable events can increase or decrease this balance independently of taxable income.</t>
  </si>
  <si>
    <t>Cash / Resources, Living Costs, WILD-003, WILD-004, Investments, Tax Results, Life Ledger</t>
  </si>
  <si>
    <t>High — Resolved</t>
  </si>
  <si>
    <t>Beginning Resources</t>
  </si>
  <si>
    <t>AGI</t>
  </si>
  <si>
    <t>Rule ID</t>
  </si>
  <si>
    <t>Rule Category</t>
  </si>
  <si>
    <t>Filing Status Code</t>
  </si>
  <si>
    <t>Game Eligibility Rule</t>
  </si>
  <si>
    <t>TAX-2025-FS-S</t>
  </si>
  <si>
    <t>SINGLE</t>
  </si>
  <si>
    <t>Single</t>
  </si>
  <si>
    <t>Default status for an unmarried player who does not qualify for another simulated filing status.</t>
  </si>
  <si>
    <t>Filing status affects your standard deduction and the tax brackets used to calculate federal income tax.</t>
  </si>
  <si>
    <t>Default starting filing status unless Pathway/Game Rules specify otherwise.</t>
  </si>
  <si>
    <t>TAX-2025-FS-MFJ</t>
  </si>
  <si>
    <t>MFJ</t>
  </si>
  <si>
    <t>Married Filing Jointly</t>
  </si>
  <si>
    <t>Used when player has active Married status in the simulation.</t>
  </si>
  <si>
    <t>Married taxpayers who file jointly use a different standard deduction and tax bracket structure than single taxpayers.</t>
  </si>
  <si>
    <t>Marriage Life Event changes player filing status to MFJ for simplified game.</t>
  </si>
  <si>
    <t>TAX-2025-FS-HOH</t>
  </si>
  <si>
    <t>HOH</t>
  </si>
  <si>
    <t>Head of Household</t>
  </si>
  <si>
    <t>Use only when the player meets the game's qualifying unmarried + qualifying-person conditions.</t>
  </si>
  <si>
    <t>Head of Household is a separate filing status with its own standard deduction and tax brackets.</t>
  </si>
  <si>
    <t>Do NOT automatically assign HOH merely because player has a dependent. Eligibility function required.</t>
  </si>
  <si>
    <t>Bracket No</t>
  </si>
  <si>
    <t>Lower Bound</t>
  </si>
  <si>
    <t>Upper Bound</t>
  </si>
  <si>
    <t>Tax Rate</t>
  </si>
  <si>
    <t>TAX-2025-S-01</t>
  </si>
  <si>
    <t>First layer of taxable income.</t>
  </si>
  <si>
    <t>TAX-2025-S-02</t>
  </si>
  <si>
    <t>Apply only to taxable income within this layer.</t>
  </si>
  <si>
    <t>TAX-2025-S-03</t>
  </si>
  <si>
    <t>TAX-2025-S-04</t>
  </si>
  <si>
    <t>TAX-2025-S-05</t>
  </si>
  <si>
    <t>TAX-2025-S-06</t>
  </si>
  <si>
    <t>TAX-2025-S-07</t>
  </si>
  <si>
    <t>No Limit</t>
  </si>
  <si>
    <t>Final/open-ended bracket.</t>
  </si>
  <si>
    <t>TAX-2025-MFJ-01</t>
  </si>
  <si>
    <t>TAX-2025-MFJ-02</t>
  </si>
  <si>
    <t>TAX-2025-MFJ-03</t>
  </si>
  <si>
    <t>TAX-2025-MFJ-04</t>
  </si>
  <si>
    <t>TAX-2025-MFJ-05</t>
  </si>
  <si>
    <t>TAX-2025-MFJ-06</t>
  </si>
  <si>
    <t>TAX-2025-MFJ-07</t>
  </si>
  <si>
    <t>TAX-2025-HOH-01</t>
  </si>
  <si>
    <t>TAX-2025-HOH-02</t>
  </si>
  <si>
    <t>TAX-2025-HOH-03</t>
  </si>
  <si>
    <t>TAX-2025-HOH-04</t>
  </si>
  <si>
    <t>TAX-2025-HOH-05</t>
  </si>
  <si>
    <t>TAX-2025-HOH-06</t>
  </si>
  <si>
    <t>TAX-2025-HOH-07</t>
  </si>
  <si>
    <t>Rule Name</t>
  </si>
  <si>
    <t>TAX-2025-CTC</t>
  </si>
  <si>
    <t>Child Tax Credit</t>
  </si>
  <si>
    <t>TAX-2025-ODC</t>
  </si>
  <si>
    <t>Credit for Other Dependents</t>
  </si>
  <si>
    <t>Applies To</t>
  </si>
  <si>
    <t>Income Qualification</t>
  </si>
  <si>
    <t>Game Rule</t>
  </si>
  <si>
    <t>Screen Message</t>
  </si>
  <si>
    <t>Credit</t>
  </si>
  <si>
    <t>Had a Child / qualifying child</t>
  </si>
  <si>
    <t>Income qualification applies</t>
  </si>
  <si>
    <t>If player has qualifying child and income qualifies, apply current-year Child Tax Credit.</t>
  </si>
  <si>
    <t>You qualify for the Child Tax Credit of $2,200 for this tax year.</t>
  </si>
  <si>
    <t>Physical card displays $X. App retrieves current-year amount.</t>
  </si>
  <si>
    <t>Parent Moved In / Caregiver / qualifying other dependent</t>
  </si>
  <si>
    <t>If player has qualifying other dependent and income qualifies, apply current-year Other Dependent Credit.</t>
  </si>
  <si>
    <t>You qualify for the Other Dependent Credit of $500 for this tax year.</t>
  </si>
  <si>
    <t>TAX-2025-EDU</t>
  </si>
  <si>
    <t>Education Credit</t>
  </si>
  <si>
    <t>Education Opportunity</t>
  </si>
  <si>
    <t>Income and education qualification apply</t>
  </si>
  <si>
    <t>If Education Opportunity qualifies, apply applicable current-year education credit up to game maximum.</t>
  </si>
  <si>
    <t>Your Education Opportunity qualifies for an education tax credit of up to $2,500 this tax year.</t>
  </si>
  <si>
    <t>Keep detailed AOTC/LLC eligibility outside physical card. App handles simplified rule.</t>
  </si>
  <si>
    <t>You welcomed a new child into your household.</t>
  </si>
  <si>
    <t>Dependent / Child Tax Credit</t>
  </si>
  <si>
    <t>Add 1 dependent. If income qualifies, receive the Child Tax Credit of $X for the current tax year.</t>
  </si>
  <si>
    <t>Caregiver's permanent dependent is separate and remains active.</t>
  </si>
  <si>
    <t>Yes — Dependent piece</t>
  </si>
  <si>
    <t>Dependents &amp; Tax Credits</t>
  </si>
  <si>
    <t>Having a qualifying child can change your taxes and may make you eligible for the Child Tax Credit.</t>
  </si>
  <si>
    <t>Your household grew by one dependent. The app will check your income and current-year rules to determine your Child Tax Credit of $X.</t>
  </si>
  <si>
    <t>Baby / child icon</t>
  </si>
  <si>
    <r>
      <t>$X</t>
    </r>
    <r>
      <rPr>
        <sz val="12"/>
        <color theme="1"/>
        <rFont val="Calibri"/>
        <family val="2"/>
      </rPr>
      <t xml:space="preserve"> is retrieved from Tax Rules for selected Tax Year. Do not hard-code credit amount on physical card. Game treats child as qualifying for the simplified child-credit scenario while active.</t>
    </r>
  </si>
  <si>
    <t>You began financially supporting a qualifying family member.</t>
  </si>
  <si>
    <t>Other Dependent Credit</t>
  </si>
  <si>
    <t>Add 1 dependent. If income qualifies, receive the Other Dependent Credit of $X for the current tax year.</t>
  </si>
  <si>
    <t>Caregiver Pathway still maintains its separate permanent dependent.</t>
  </si>
  <si>
    <t>Other Dependents</t>
  </si>
  <si>
    <t>Supporting a qualifying dependent may make you eligible for a dependent-related tax credit.</t>
  </si>
  <si>
    <t>You added a qualifying dependent. The app will check your income and current-year rules to determine your Other Dependent Credit of $X.</t>
  </si>
  <si>
    <t>Helping hands / family icon</t>
  </si>
  <si>
    <r>
      <t>$X</t>
    </r>
    <r>
      <rPr>
        <sz val="12"/>
        <color theme="1"/>
        <rFont val="Calibri"/>
        <family val="2"/>
      </rPr>
      <t xml:space="preserve"> retrieved from Tax Rules. Life Event dependent is tracked separately from Caregiver Pathway dependent.</t>
    </r>
  </si>
  <si>
    <t>You got married and your household filing situation changed.</t>
  </si>
  <si>
    <t>Change filing status to Married Filing Jointly. Use the current-year married standard deduction and federal tax brackets.</t>
  </si>
  <si>
    <t>No special Pathway rule.</t>
  </si>
  <si>
    <t>Yes — Married status piece</t>
  </si>
  <si>
    <t>Marriage can change the filing status, standard deduction, and tax brackets used on your return.</t>
  </si>
  <si>
    <t>Your filing status is now Married Filing Jointly. The app will apply the current-year married tax rules.</t>
  </si>
  <si>
    <t>Wedding rings</t>
  </si>
  <si>
    <t>If already married, redraw. Filing status remains MFJ until another Life Event changes it. Current-year values come from Tax Rules.</t>
  </si>
  <si>
    <t>Your marriage ended and your filing situation changed.</t>
  </si>
  <si>
    <t>Change filing status to Single for the simplified game. Use current-year Single standard deduction and federal tax brackets. Existing dependents remain unless separately removed.</t>
  </si>
  <si>
    <t>Yes — remove Married status piece</t>
  </si>
  <si>
    <t>Divorce can change the filing status and tax rules used on your return.</t>
  </si>
  <si>
    <t>Your filing status changed to Single. The app will now use the current-year Single tax rules.</t>
  </si>
  <si>
    <t>Separated rings / split household</t>
  </si>
  <si>
    <t>If player is not currently married, redraw. Do not automatically remove dependents. Game simplifies post-divorce filing status to Single.</t>
  </si>
  <si>
    <t>You purchased a home and became a homeowner.</t>
  </si>
  <si>
    <t>Activate Homeowner status. You are now eligible for applicable homeowner-related deduction scenarios. The app still compares allowable itemized deductions with standard deduction X.</t>
  </si>
  <si>
    <t>Home Builder begins with Homeowner status already active; if already homeowner, redraw.</t>
  </si>
  <si>
    <t>Homeownership &amp; Itemizing</t>
  </si>
  <si>
    <t>Owning a home may create expenses considered when itemizing, but homeownership does not automatically make itemizing better.</t>
  </si>
  <si>
    <t>You are now a homeowner. Homeowner-related deduction scenarios are available, but the app will still compare your itemized deductions with standard deduction X.</t>
  </si>
  <si>
    <t>House / keys</t>
  </si>
  <si>
    <t>Does not create a fixed deduction. Homeowner status enables applicable scenarios. Do not automatically force itemization.</t>
  </si>
  <si>
    <t>Dependent Left Household</t>
  </si>
  <si>
    <t>A dependent you were supporting is no longer part of your qualifying household.</t>
  </si>
  <si>
    <t>Dependent / Tax Credit</t>
  </si>
  <si>
    <t>Remove 1 applicable dependent. Remove the associated dependent credit when that dependent is no longer eligible.</t>
  </si>
  <si>
    <t>Caregiver Pathway cannot lose its permanent pathway-dependent.</t>
  </si>
  <si>
    <t>Yes — remove applicable Dependent piece</t>
  </si>
  <si>
    <t>Dependent Eligibility</t>
  </si>
  <si>
    <t>When someone is no longer your qualifying dependent, the tax benefits associated with that dependent can also change.</t>
  </si>
  <si>
    <t>You have one fewer qualifying dependent. The app will recalculate any dependent-related credit affected by the change.</t>
  </si>
  <si>
    <t>Person leaving house</t>
  </si>
  <si>
    <t>If player has no removable dependent, redraw. Never reduce Caregiver below pathway minimum of 1 dependent.</t>
  </si>
  <si>
    <t>Spouse Joined Household</t>
  </si>
  <si>
    <t>You got married and now file as a married household in the game.</t>
  </si>
  <si>
    <t>Getting married can change the filing status, deductions, and tax brackets used to calculate federal income tax.</t>
  </si>
  <si>
    <t>Couple / joined household</t>
  </si>
  <si>
    <t>Second marriage Life Event for deck variety. If already married, redraw. Current-year amounts and brackets come from Tax Rules.</t>
  </si>
  <si>
    <t>A parent moved into your household and now qualifies as your dependent in the game.</t>
  </si>
  <si>
    <t>Add 1 Other Dependent. If income qualifies, receive the Other Dependent Credit of $X for the current tax year.</t>
  </si>
  <si>
    <t>Caregiver Pathway's permanent dependent remains separate.</t>
  </si>
  <si>
    <t>Supporting a qualifying parent may make you eligible for the Other Dependent Credit.</t>
  </si>
  <si>
    <t>Your parent qualifies as an Other Dependent in the game. The app will check your income and current-year rules to determine your credit of $X.</t>
  </si>
  <si>
    <t>Parent / multigenerational home</t>
  </si>
  <si>
    <r>
      <t xml:space="preserve">Game assumes qualifying-relative requirements are satisfied while card is active. </t>
    </r>
    <r>
      <rPr>
        <sz val="10"/>
        <color theme="1"/>
        <rFont val="Arial Unicode MS"/>
        <family val="2"/>
      </rPr>
      <t>$X</t>
    </r>
    <r>
      <rPr>
        <sz val="12"/>
        <color theme="1"/>
        <rFont val="Calibri"/>
        <family val="2"/>
      </rPr>
      <t xml:space="preserve"> retrieved from current Tax Rules.</t>
    </r>
  </si>
  <si>
    <t>Sold Home and Began Renting</t>
  </si>
  <si>
    <t>You sold your home and moved into a rental.</t>
  </si>
  <si>
    <t>Remove Homeowner Status</t>
  </si>
  <si>
    <t>Remove Homeowner status. Homeowner-only deduction scenarios are no longer available.</t>
  </si>
  <si>
    <t>Home Builder loses Homeowner status if this event occurs despite beginning game as homeowner.</t>
  </si>
  <si>
    <t>Yes — remove Home piece</t>
  </si>
  <si>
    <t>Changing Deduction Circumstances</t>
  </si>
  <si>
    <t>Selling a home can change which expenses are available when comparing itemized deductions with the standard deduction.</t>
  </si>
  <si>
    <t>You are now renting. Homeowner-only deduction scenarios are no longer available.</t>
  </si>
  <si>
    <t>House sold sign / apartment keys</t>
  </si>
  <si>
    <t>If player is not currently a homeowner, redraw. Do not model home-sale capital gain in initial curriculum.</t>
  </si>
  <si>
    <t>Another qualifying dependent joined your household.</t>
  </si>
  <si>
    <t>Dependent Tax Credit</t>
  </si>
  <si>
    <t>Add 1 dependent. If income and dependent type qualify, receive the applicable dependent credit of $X for the current tax year.</t>
  </si>
  <si>
    <t>Caregiver permanent dependent counts separately; this card may add another dependent above pathway minimum.</t>
  </si>
  <si>
    <t>Adding another qualifying dependent may change the tax credits available on your return.</t>
  </si>
  <si>
    <t>You added another qualifying dependent. The app will determine which dependent credit applies and display the current-year amount of $X.</t>
  </si>
  <si>
    <t>Family / plus-one icon</t>
  </si>
  <si>
    <r>
      <t xml:space="preserve">App must identify applicable simplified dependent type so it can retrieve the correct </t>
    </r>
    <r>
      <rPr>
        <sz val="10"/>
        <color theme="1"/>
        <rFont val="Arial Unicode MS"/>
        <family val="2"/>
      </rPr>
      <t>$X</t>
    </r>
    <r>
      <rPr>
        <sz val="12"/>
        <color theme="1"/>
        <rFont val="Calibri"/>
        <family val="2"/>
      </rPr>
      <t>. Do not hard-code credit amount on physical card.</t>
    </r>
  </si>
  <si>
    <t>DEV-085</t>
  </si>
  <si>
    <t>Business / Self-Employment</t>
  </si>
  <si>
    <t>Business Income receives the game's applicable business/self-employment tax treatment automatically within the tax calculation. Players do not separately calculate self-employment tax during gameplay. Business Income cards represent net business income. The distinction between W-2 and Business Income should remain in the data for educational messages, applicable expenses, Wildcards, and Audit Results. Detailed business and self-employment tax mechanics are taught during instruction rather than gameplay.</t>
  </si>
  <si>
    <t>Business Income Cards, Entrepreneur, Side Hustler, WILD-002, WILD-004, Business Audit Results</t>
  </si>
  <si>
    <t>DEV-086</t>
  </si>
  <si>
    <t>The app automatically compares eligible itemized deductions against the current-year standard deduction X and uses the larger amount. Players do not manually calculate which method provides the greater deduction.</t>
  </si>
  <si>
    <t>Deduction Cards, Home Builder, Homeowner Life Events</t>
  </si>
  <si>
    <t>DEV-087</t>
  </si>
  <si>
    <t>Dollar amounts shown on Deduction cards represent the game's applicable expenses/scenario amounts. The app applies any necessary simplified tax treatment before comparing the resulting eligible itemized deductions with standard deduction X.</t>
  </si>
  <si>
    <t>DED-001 through DED-010</t>
  </si>
  <si>
    <t>DEV-088</t>
  </si>
  <si>
    <t>Penalties are not automatically applied because a player owes tax. A penalty is only applied when a specific game event or Audit Result triggers one. Any applicable penalty calculation is handled automatically by the app.</t>
  </si>
  <si>
    <t>Audit Results, Tax Prepayment, Results</t>
  </si>
  <si>
    <t>DEV-089</t>
  </si>
  <si>
    <t>Special Tax Rules</t>
  </si>
  <si>
    <t>Special tax treatment for income such as Social Security, retirement income, and investment income is incorporated automatically into the game's tax calculation. Players do not perform separate tax calculations for these income types during gameplay.</t>
  </si>
  <si>
    <t>Retirement Cards, Investment Wildcards</t>
  </si>
  <si>
    <t>DEV-090</t>
  </si>
  <si>
    <t>DEV-091</t>
  </si>
  <si>
    <t>Gameplay Simplification</t>
  </si>
  <si>
    <t>When real tax law requires calculations beyond the intended level of the game, the app should incorporate the simplified treatment into the calculated result rather than requiring the player to complete additional tax worksheets. Detailed mechanics are reserved for classroom instruction.</t>
  </si>
  <si>
    <t>Tax Engine, Tax Rules, Results</t>
  </si>
  <si>
    <t>Preserve W-2, Business, Social Security, Retirement, and Investment income as separate income types in the data even when their special tax treatment is calculated automatically. This allows the game and classroom instruction to explain that different types of income may receive different tax treatment.</t>
  </si>
  <si>
    <t>Income Cards, Retirement Cards, Wildcards</t>
  </si>
  <si>
    <t>DEV-092</t>
  </si>
  <si>
    <t>Player State</t>
  </si>
  <si>
    <t>At the beginning of each round, load the player's current persistent game state, including Pathway, filing status, dependents, homeowner status, Cash/Resources, investments, retirement status, and other active persistent effects.</t>
  </si>
  <si>
    <t>All Game Data</t>
  </si>
  <si>
    <t>DEV-093</t>
  </si>
  <si>
    <t>Round State</t>
  </si>
  <si>
    <t>Each round should have a Beginning State and Ending State. The Ending State of one round becomes the Beginning State of the next round.</t>
  </si>
  <si>
    <t>Round Results, Life Ledger</t>
  </si>
  <si>
    <t>DEV-094</t>
  </si>
  <si>
    <t>Income State</t>
  </si>
  <si>
    <t>Income is recalculated each round according to the player's Pathway, Income cards, active investment income, Wildcards, and retirement status. Preserve individual income types even when displaying a combined total.</t>
  </si>
  <si>
    <t>Income Cards, Pathways, Wildcards, Retirement</t>
  </si>
  <si>
    <t>DEV-095</t>
  </si>
  <si>
    <t>Filing status carries forward from round to round until changed by an applicable Life Event.</t>
  </si>
  <si>
    <t>LIFE-003, LIFE-004, LIFE-007</t>
  </si>
  <si>
    <t>DEV-096</t>
  </si>
  <si>
    <t>Active dependents carry forward for their defined duration. Permanent Pathway dependents remain active according to the Pathway rule.</t>
  </si>
  <si>
    <t>LIFE-001, LIFE-002, LIFE-006, LIFE-008, LIFE-010, Caregiver</t>
  </si>
  <si>
    <t>DEV-097</t>
  </si>
  <si>
    <t>Homeowner Status</t>
  </si>
  <si>
    <t>Homeowner status carries forward while active and controls eligibility for applicable homeowner deduction scenarios.</t>
  </si>
  <si>
    <t>LIFE-005, LIFE-009, Home Builder, Deduction Cards</t>
  </si>
  <si>
    <t>DEV-098</t>
  </si>
  <si>
    <t>Investments are persistent assets. Each investment remains attached to the player, can generate its defined recurring income beginning in the following round, and contributes its defined value in retirement.</t>
  </si>
  <si>
    <t>WILD-007 through WILD-010, Investor</t>
  </si>
  <si>
    <t>DEV-099</t>
  </si>
  <si>
    <t>Retirement State</t>
  </si>
  <si>
    <t>Retirement status changes the player's primary income source from regular Income cards to the Retirement deck. Normal retirement begins in Round 5; Early Retiree begins in Round 4.</t>
  </si>
  <si>
    <t>Retirement Cards, PATH-008</t>
  </si>
  <si>
    <t>DEV-100</t>
  </si>
  <si>
    <t>Cash/Resources is persistent. The Ending Cash/Resources balance from one round becomes the Beginning Cash/Resources balance of the next round.</t>
  </si>
  <si>
    <t>Cash/Resources, Life Ledger</t>
  </si>
  <si>
    <t>DEV-101</t>
  </si>
  <si>
    <t>Each regular-life round includes simulated Living Costs calculated as a game-defined percentage of the player's applicable income/AGI. Living Costs represent ordinary personal costs of living and are separate from tax deductions.</t>
  </si>
  <si>
    <t>Income, Cash/Resources</t>
  </si>
  <si>
    <t>DEV-102</t>
  </si>
  <si>
    <t>Store the Living Cost Rate as an adjustable Game Rule rather than on physical cards or in Tax Rules. This allows the percentage to be changed during playtesting without changing the cards.</t>
  </si>
  <si>
    <t>DEV-103</t>
  </si>
  <si>
    <t>Household Living Costs</t>
  </si>
  <si>
    <t>The initial version may use one base Living Cost Rate for all players. Household adjustments for marriage and dependents can be added later if playtesting shows they improve the simulation without creating unnecessary complexity.</t>
  </si>
  <si>
    <t>Life Events, Dependents, Filing Status</t>
  </si>
  <si>
    <t>DEV-104</t>
  </si>
  <si>
    <t>Cash Inflows</t>
  </si>
  <si>
    <t>Cash/Resources can increase from resources retained from income, inheritances, refunds, and other cards/events specifically defined as financial inflows.</t>
  </si>
  <si>
    <t>Income, WILD-003, Tax Results</t>
  </si>
  <si>
    <t>DEV-105</t>
  </si>
  <si>
    <t>Cash Outflows</t>
  </si>
  <si>
    <t>Cash/Resources can decrease from Living Costs, amounts due at filing, personal unexpected expenses, penalties, and other cards/events specifically defined as financial outflows.</t>
  </si>
  <si>
    <t>WILD-004, Audit Results, Tax Results</t>
  </si>
  <si>
    <t>DEV-106</t>
  </si>
  <si>
    <t>Business Expenses</t>
  </si>
  <si>
    <t>A qualifying business expense should affect Business Income according to the applicable card rule rather than being treated as an additional personal Living Cost. Avoid counting the same expense twice.</t>
  </si>
  <si>
    <t>WILD-004, Business Income</t>
  </si>
  <si>
    <t>DEV-107</t>
  </si>
  <si>
    <t>Refund Treatment</t>
  </si>
  <si>
    <t>A tax refund increases Cash/Resources when the tax return is settled. A refund is the return of excess tax prepayment and is not income or a game reward.</t>
  </si>
  <si>
    <t>Tax Prepayment, Results</t>
  </si>
  <si>
    <t>DEV-108</t>
  </si>
  <si>
    <t>Amount Due Treatment</t>
  </si>
  <si>
    <t>An amount due decreases Cash/Resources when the tax return is settled. Amount due is not automatically a penalty.</t>
  </si>
  <si>
    <t>DEV-109</t>
  </si>
  <si>
    <t>Cash/Resources represents accumulated liquid financial resources over the simulated lifetime. It is not a score and should be shown as one part of the player's financial story.</t>
  </si>
  <si>
    <t>Cash/Resources, Life Ledger, Tax Life Story</t>
  </si>
  <si>
    <t>DEV-110</t>
  </si>
  <si>
    <t>Negative Resources</t>
  </si>
  <si>
    <t>Cash/Resources should be allowed to fall below zero rather than stopping gameplay. A negative balance represents financial strain/debt and carries forward unless a later game rule changes it.</t>
  </si>
  <si>
    <t>Cash/Resources</t>
  </si>
  <si>
    <t>DEV-111</t>
  </si>
  <si>
    <t>Investments vs. Cash</t>
  </si>
  <si>
    <t>Investment assets should be tracked separately from Cash/Resources. Investment value should not be added to spendable Cash/Resources until a rule specifically realizes or uses that value.</t>
  </si>
  <si>
    <t>Investment Wildcards, Investor, Retirement</t>
  </si>
  <si>
    <t>DEV-112</t>
  </si>
  <si>
    <t>The app may display Cash/Resources and Investment Assets separately and may also display a combined simulated wealth figure for educational purposes.</t>
  </si>
  <si>
    <t>Results, Life Ledger</t>
  </si>
  <si>
    <t>DEV-113</t>
  </si>
  <si>
    <t>Living Costs vs. Deduction</t>
  </si>
  <si>
    <t>Never use the standard deduction as the Living Cost amount and never subtract simulated Living Costs when calculating taxable income. These are two separate game systems.</t>
  </si>
  <si>
    <t>Deduction Cards, Tax Rules, Cash/Resources</t>
  </si>
  <si>
    <t>Simulated Living Costs</t>
  </si>
  <si>
    <t>% of AGI</t>
  </si>
  <si>
    <t>Before-Tax Resources Remaining</t>
  </si>
  <si>
    <t>DEV-114</t>
  </si>
  <si>
    <t>Round Calculation</t>
  </si>
  <si>
    <t>Process each regular-life round in this order: Income → Life Event → Deduction → Tax Prepayment → Wildcard → Audit → Results.</t>
  </si>
  <si>
    <t>DEV-115</t>
  </si>
  <si>
    <t>Income Calculation</t>
  </si>
  <si>
    <t>At the Income stage, determine all active income sources for the round, including primary Income cards, Pathway-generated income, recurring investment income, and applicable retirement income.</t>
  </si>
  <si>
    <t>Income Cards, Pathways, Investments, Retirement</t>
  </si>
  <si>
    <t>DEV-116</t>
  </si>
  <si>
    <t>Life Event Processing</t>
  </si>
  <si>
    <t>Apply the Life Event before the Deduction stage so changes to filing status, dependents, or homeowner status can affect the current round's tax calculation.</t>
  </si>
  <si>
    <t>Life Event Cards</t>
  </si>
  <si>
    <t>DEV-117</t>
  </si>
  <si>
    <t>Deduction Processing</t>
  </si>
  <si>
    <t>After Life Events are applied, determine the player's eligible deduction scenario. The app compares eligible itemized deductions against current-year standard deduction X and uses the larger applicable amount.</t>
  </si>
  <si>
    <t>Deduction Cards, Tax Rules</t>
  </si>
  <si>
    <t>DEV-118</t>
  </si>
  <si>
    <t>Apply the player's Tax Prepayment rate to the calculated tax liability. Tax Prepayment represents withholding for employee income and estimated payments for applicable business income.</t>
  </si>
  <si>
    <t>Tax Prepayment Cards</t>
  </si>
  <si>
    <t>DEV-119</t>
  </si>
  <si>
    <t>Wildcard Processing</t>
  </si>
  <si>
    <t>Apply the Wildcard before final results. Wildcards may change income, Cash/Resources, expenses, investments, education benefits, or trigger an Audit. Recalculate affected values before finalizing the round.</t>
  </si>
  <si>
    <t>Wildcard Cards</t>
  </si>
  <si>
    <t>DEV-120</t>
  </si>
  <si>
    <t>Audit Processing</t>
  </si>
  <si>
    <t>If an Audit is triggered, apply the eligible Audit Result and recalculate any affected income, deductions, tax, or penalties before finalizing the round.</t>
  </si>
  <si>
    <t>WILD-006, Audit Results</t>
  </si>
  <si>
    <t>DEV-121</t>
  </si>
  <si>
    <t>Final Tax Calculation</t>
  </si>
  <si>
    <t>After all applicable cards and adjustments have been processed, calculate the player's final tax liability using the selected Tax Year's rules.</t>
  </si>
  <si>
    <t>Tax Rules, All Tax-Affecting Cards</t>
  </si>
  <si>
    <t>DEV-122</t>
  </si>
  <si>
    <t>Calculate simulated Living Costs using the game's progressive Living Cost formula. Living Costs affect Cash/Resources only and do not reduce taxable income.</t>
  </si>
  <si>
    <t>Income, Game Rules, Cash/Resources</t>
  </si>
  <si>
    <t>DEV-123</t>
  </si>
  <si>
    <t>Tax Cash Flow</t>
  </si>
  <si>
    <t>Taxes should reduce Cash/Resources only once. Tax Prepayments represent tax already paid during the round; a refund returns excess prepayment and an amount due settles an unpaid portion. Do not subtract both full tax liability and the filing balance from Cash/Resources.</t>
  </si>
  <si>
    <t>Tax Prepayment, Results, Cash/Resources</t>
  </si>
  <si>
    <t>DEV-124</t>
  </si>
  <si>
    <t>If Tax Prepayments exceed final tax liability, the difference is a refund. The refund increases Cash/Resources when the return is settled but is not income, profit, or a score.</t>
  </si>
  <si>
    <t>DEV-125</t>
  </si>
  <si>
    <t>If final tax liability exceeds Tax Prepayments, the difference is Amount Due. Amount Due reduces Cash/Resources when the return is settled but is not automatically a penalty.</t>
  </si>
  <si>
    <t>DEV-126</t>
  </si>
  <si>
    <t>Any separately triggered penalty reduces Cash/Resources in addition to tax liability. Penalties must not be included twice if already incorporated into the final settlement calculation.</t>
  </si>
  <si>
    <t>Audit Results, Special Rules</t>
  </si>
  <si>
    <t>DEV-127</t>
  </si>
  <si>
    <t>Cash / Resources Calculation</t>
  </si>
  <si>
    <t>Ending Cash/Resources equals Beginning Cash/Resources plus applicable cash inflows, minus Living Costs, final tax liability, applicable personal expenses, penalties, and other defined cash outflows. Tax Prepayment/refund timing must reconcile to the same final tax cost rather than creating additional income or expense.</t>
  </si>
  <si>
    <t>Cash/Resources, Results</t>
  </si>
  <si>
    <t>DEV-128</t>
  </si>
  <si>
    <t>Acquiring an investment creates an investment asset rather than immediately adding its asset value to Cash/Resources. Recurring investment income begins according to the investment's existing next-round rule.</t>
  </si>
  <si>
    <t>DEV-129</t>
  </si>
  <si>
    <t>End of Round</t>
  </si>
  <si>
    <t>After all calculations are complete, save the final tax result, Ending Cash/Resources, active assets, persistent statuses, and card history before advancing to the next round.</t>
  </si>
  <si>
    <t>Life Ledger, Player State</t>
  </si>
  <si>
    <t>DEV-130</t>
  </si>
  <si>
    <t>Create a Life Ledger snapshot at the end of every round using the finalized values. Once saved, that snapshot should not change because of events occurring in later rounds.</t>
  </si>
  <si>
    <t>DEV-131</t>
  </si>
  <si>
    <t>Persistent Effects</t>
  </si>
  <si>
    <t>Track any effect lasting beyond the current round as part of the player's active game state. Each active effect should retain its source Card/Pathway ID, effect type, start round, duration, and current status.</t>
  </si>
  <si>
    <t>Life Events, Pathways, Investments</t>
  </si>
  <si>
    <t>DEV-132</t>
  </si>
  <si>
    <t>Effect Duration</t>
  </si>
  <si>
    <r>
      <t>1 Round</t>
    </r>
    <r>
      <rPr>
        <sz val="12"/>
        <color theme="1"/>
        <rFont val="Calibri"/>
        <family val="2"/>
      </rPr>
      <t xml:space="preserve"> effects apply only during the round in which they occur. </t>
    </r>
    <r>
      <rPr>
        <sz val="10"/>
        <color theme="1"/>
        <rFont val="Arial Unicode MS"/>
        <family val="2"/>
      </rPr>
      <t>2 Round</t>
    </r>
    <r>
      <rPr>
        <sz val="12"/>
        <color theme="1"/>
        <rFont val="Calibri"/>
        <family val="2"/>
      </rPr>
      <t xml:space="preserve"> effects apply during the round acquired and the following round. </t>
    </r>
    <r>
      <rPr>
        <sz val="10"/>
        <color theme="1"/>
        <rFont val="Arial Unicode MS"/>
        <family val="2"/>
      </rPr>
      <t>Persistent</t>
    </r>
    <r>
      <rPr>
        <sz val="12"/>
        <color theme="1"/>
        <rFont val="Calibri"/>
        <family val="2"/>
      </rPr>
      <t xml:space="preserve"> effects remain active until another game event specifically changes or removes them.</t>
    </r>
  </si>
  <si>
    <t>DEV-133</t>
  </si>
  <si>
    <t>Effect Expiration</t>
  </si>
  <si>
    <t>Temporary effects expire only after all calculations and the Life Ledger snapshot for their final active round have been completed.</t>
  </si>
  <si>
    <t>Life Events, Life Ledger</t>
  </si>
  <si>
    <t>DEV-134</t>
  </si>
  <si>
    <t>Dependent Duration</t>
  </si>
  <si>
    <t>Life Event dependents with a 2-round duration remain active for the round received and the following round, then automatically expire unless another rule extends them.</t>
  </si>
  <si>
    <t>LIFE-001, LIFE-002, LIFE-008, LIFE-010</t>
  </si>
  <si>
    <t>DEV-135</t>
  </si>
  <si>
    <t>Caregiver Dependent</t>
  </si>
  <si>
    <t>The Caregiver Pathway's permanent dependent does not expire. The player's total dependents cannot fall below one while the Caregiver Pathway is active, including during retirement.</t>
  </si>
  <si>
    <t>DEV-136</t>
  </si>
  <si>
    <t>Dependent Removal</t>
  </si>
  <si>
    <r>
      <t>Dependent Left Household</t>
    </r>
    <r>
      <rPr>
        <sz val="12"/>
        <color theme="1"/>
        <rFont val="Calibri"/>
        <family val="2"/>
      </rPr>
      <t xml:space="preserve"> removes one eligible Life Event dependent immediately. It cannot remove the Caregiver's permanent Pathway dependent. If there is no removable dependent, the physical card is redrawn.</t>
    </r>
  </si>
  <si>
    <t>LIFE-006, PATH-003</t>
  </si>
  <si>
    <t>DEV-137</t>
  </si>
  <si>
    <t>Marriage Status</t>
  </si>
  <si>
    <t>Married filing status is Persistent once activated and remains active until a later Life Event changes it. It does not expire automatically between rounds.</t>
  </si>
  <si>
    <t>DEV-138</t>
  </si>
  <si>
    <t>Divorce Status</t>
  </si>
  <si>
    <t>Divorce immediately changes the player's filing status to the game's unmarried/Single status. Dependents remain unchanged unless separately removed or expired.</t>
  </si>
  <si>
    <t>DEV-139</t>
  </si>
  <si>
    <t>Homeowner Duration</t>
  </si>
  <si>
    <r>
      <t xml:space="preserve">Homeowner status created by </t>
    </r>
    <r>
      <rPr>
        <sz val="10"/>
        <color theme="1"/>
        <rFont val="Arial Unicode MS"/>
        <family val="2"/>
      </rPr>
      <t>Bought a Home</t>
    </r>
    <r>
      <rPr>
        <sz val="12"/>
        <color theme="1"/>
        <rFont val="Calibri"/>
        <family val="2"/>
      </rPr>
      <t xml:space="preserve"> remains active for its defined 2-round duration unless removed earlier by </t>
    </r>
    <r>
      <rPr>
        <sz val="10"/>
        <color theme="1"/>
        <rFont val="Arial Unicode MS"/>
        <family val="2"/>
      </rPr>
      <t>Sold Home and Began Renting</t>
    </r>
    <r>
      <rPr>
        <sz val="12"/>
        <color theme="1"/>
        <rFont val="Calibri"/>
        <family val="2"/>
      </rPr>
      <t>.</t>
    </r>
  </si>
  <si>
    <t>LIFE-005, LIFE-009</t>
  </si>
  <si>
    <t>DEV-140</t>
  </si>
  <si>
    <t>Home Builder Status</t>
  </si>
  <si>
    <t>Home Builder begins with Homeowner status. The starting status persists unless a Life Event specifically removes it.</t>
  </si>
  <si>
    <t>DEV-141</t>
  </si>
  <si>
    <t>Sold Home</t>
  </si>
  <si>
    <r>
      <t>Sold Home and Began Renting</t>
    </r>
    <r>
      <rPr>
        <sz val="12"/>
        <color theme="1"/>
        <rFont val="Calibri"/>
        <family val="2"/>
      </rPr>
      <t xml:space="preserve"> immediately removes active Homeowner status, including Home Builder's starting Homeowner status. Homeowner-only scenarios become unavailable.</t>
    </r>
  </si>
  <si>
    <t>LIFE-009, PATH-004</t>
  </si>
  <si>
    <t>DEV-142</t>
  </si>
  <si>
    <t>Investment Persistence</t>
  </si>
  <si>
    <t>Acquired investments remain active through the remainder of the game and into retirement. They do not expire automatically.</t>
  </si>
  <si>
    <t>WILD-007 through WILD-010, PATH-007</t>
  </si>
  <si>
    <t>DEV-143</t>
  </si>
  <si>
    <t>Investment Activation</t>
  </si>
  <si>
    <t>An investment acquired during a round does not generate recurring investment income during that same round. Its recurring income begins with the following round.</t>
  </si>
  <si>
    <t>Investment Wildcards, Investor</t>
  </si>
  <si>
    <t>DEV-144</t>
  </si>
  <si>
    <t>Investor Starting Asset</t>
  </si>
  <si>
    <t>Investor begins the game with the Starter Investment already acquired. Because it exists before Round 1 begins, its recurring investment income may apply beginning in Round 1.</t>
  </si>
  <si>
    <t>PATH-007, WILD-007</t>
  </si>
  <si>
    <t>DEV-145</t>
  </si>
  <si>
    <t>Multiple Investments</t>
  </si>
  <si>
    <t>Multiple investment assets may be active simultaneously. Each asset remains separately identifiable and contributes its own recurring income and retirement value.</t>
  </si>
  <si>
    <t>WILD-007 through WILD-010</t>
  </si>
  <si>
    <t>DEV-146</t>
  </si>
  <si>
    <t>Wildcard Duration</t>
  </si>
  <si>
    <t>One-round Wildcard effects apply to the current round only unless the card specifically creates a Persistent asset or status.</t>
  </si>
  <si>
    <t>DEV-147</t>
  </si>
  <si>
    <t>Audit Duration</t>
  </si>
  <si>
    <t>Audit Results generally affect the round in which the Audit occurs. Any recalculated tax, deduction, penalty, or income adjustment becomes part of that round's final result but does not remain as a separate active effect unless specifically stated.</t>
  </si>
  <si>
    <t>Audit Results</t>
  </si>
  <si>
    <t>DEV-148</t>
  </si>
  <si>
    <t>Retirement Transition</t>
  </si>
  <si>
    <t>Retirement is a permanent game-state transition. Once the player enters retirement, the player remains retired through the remainder of the game.</t>
  </si>
  <si>
    <t>DEV-149</t>
  </si>
  <si>
    <t>Standard players enter retirement in Round 5. Early Retiree enters retirement in Round 4. Once retired, use the Retirement deck instead of the normal primary Income draw.</t>
  </si>
  <si>
    <t>DEV-150</t>
  </si>
  <si>
    <t>Existing State at Retirement</t>
  </si>
  <si>
    <t>Entering retirement does not automatically erase filing status, dependents, Cash/Resources, investments, homeowner status, or other still-active effects. Each continues according to its own duration/rule.</t>
  </si>
  <si>
    <t>Retirement, Player State</t>
  </si>
  <si>
    <t>DEV-151</t>
  </si>
  <si>
    <t>Active investments continue into retirement and contribute according to their existing recurring-income and retirement-value rules.</t>
  </si>
  <si>
    <t>DEV-152</t>
  </si>
  <si>
    <t>Cash Persistence</t>
  </si>
  <si>
    <t>Cash/Resources never expires between rounds. The Ending Cash/Resources balance becomes the next round's Beginning Cash/Resources, including when transitioning into retirement.</t>
  </si>
  <si>
    <t>DEV-153</t>
  </si>
  <si>
    <t>Effect Source</t>
  </si>
  <si>
    <t>Every persistent or temporary active effect should retain the ID of the card or Pathway that created it so the app can explain why the effect exists and correctly remove it when necessary.</t>
  </si>
  <si>
    <t>All Persistent Effects</t>
  </si>
  <si>
    <t>DEV-154</t>
  </si>
  <si>
    <t>End-of-Round Expiration</t>
  </si>
  <si>
    <t>After saving the Life Ledger, expire effects whose final active round has ended, activate any next-round effects such as newly acquired investment income, and then create the Beginning State for the next round.</t>
  </si>
  <si>
    <t>Player State, Life Ledger</t>
  </si>
  <si>
    <t>DEV-155</t>
  </si>
  <si>
    <t>Round Results</t>
  </si>
  <si>
    <t>Generate a Results screen after all cards, tax calculations, Audit effects, Living Costs, and Cash/Resources calculations for the round are complete.</t>
  </si>
  <si>
    <t>DEV-156</t>
  </si>
  <si>
    <t>Results Summary</t>
  </si>
  <si>
    <t>Keep the main Results screen high-level. Show Total Income, Deduction Used, Taxable Income, Final Tax, Tax Prepaid, Refund or Amount Due, Living Costs, Resources Retained, and Ending Cash/Resources.</t>
  </si>
  <si>
    <t>Round Results, Tax Engine</t>
  </si>
  <si>
    <t>DEV-157</t>
  </si>
  <si>
    <t>Income Display</t>
  </si>
  <si>
    <t>Show the player's Total Income as the primary number, with individual income types available as supporting detail when applicable.</t>
  </si>
  <si>
    <t>Income Cards, Business Income, Investments, Retirement</t>
  </si>
  <si>
    <t>DEV-158</t>
  </si>
  <si>
    <t>Deduction Display</t>
  </si>
  <si>
    <t>Show whether the Standard or Itemized deduction was used and the final deduction amount. The player does not need to see every intermediate deduction calculation.</t>
  </si>
  <si>
    <t>DEV-159</t>
  </si>
  <si>
    <t>Taxable Income Display</t>
  </si>
  <si>
    <t>Show Taxable Income so the player can see that Total Income and Taxable Income are not necessarily the same amount.</t>
  </si>
  <si>
    <t>Tax Engine</t>
  </si>
  <si>
    <t>DEV-160</t>
  </si>
  <si>
    <t>Tax Display</t>
  </si>
  <si>
    <t>Show the player's Final Tax as one primary number. Special treatment for Business, Social Security, Retirement, Investment, and other income types should already be included in this result.</t>
  </si>
  <si>
    <t>Tax Rules, Tax Engine</t>
  </si>
  <si>
    <t>DEV-161</t>
  </si>
  <si>
    <t>Tax Prepayment Display</t>
  </si>
  <si>
    <t>Show the amount of tax prepaid during the round and identify the result as a Refund, Amount Due, or approximately On Target.</t>
  </si>
  <si>
    <t>DEV-162</t>
  </si>
  <si>
    <t>Refund / Amount Due Message</t>
  </si>
  <si>
    <t>Explain that a Refund means the player prepaid more tax than ultimately owed and an Amount Due means the player prepaid less than ultimately owed. Do not describe a refund as winning or an amount due as losing.</t>
  </si>
  <si>
    <t>DEV-163</t>
  </si>
  <si>
    <t>Living Costs Display</t>
  </si>
  <si>
    <t>Show the player's simulated Living Costs separately from taxes and deductions. Make clear that Living Costs are part of the game's financial-life simulation and are not a tax deduction.</t>
  </si>
  <si>
    <t>Living Cost Rules</t>
  </si>
  <si>
    <t>DEV-164</t>
  </si>
  <si>
    <t>Resources Retained</t>
  </si>
  <si>
    <t>Show the amount of financial resources retained or lost during the round after applicable income, Living Costs, taxes, personal expenses, penalties, and other financial effects.</t>
  </si>
  <si>
    <t>DEV-165</t>
  </si>
  <si>
    <t>Ending Cash / Resources</t>
  </si>
  <si>
    <t>Show Ending Cash/Resources prominently so players can see how financial resources accumulate or decline over their simulated lifetime.</t>
  </si>
  <si>
    <t>DEV-166</t>
  </si>
  <si>
    <t>Investments Display</t>
  </si>
  <si>
    <t>Show active investment assets separately from Cash/Resources. Investment assets should not be presented as spendable cash.</t>
  </si>
  <si>
    <t>DEV-167</t>
  </si>
  <si>
    <t>Life Changes</t>
  </si>
  <si>
    <t>Include a short summary of important state changes during the round, such as marriage, divorce, new dependents, homeownership, retirement, or acquiring an investment.</t>
  </si>
  <si>
    <t>Life Events, Wildcards, Pathways</t>
  </si>
  <si>
    <t>DEV-168</t>
  </si>
  <si>
    <t>Educational Message</t>
  </si>
  <si>
    <t>Results should include a short explanation connecting the player's cards to the outcome. Keep the explanation focused on the major tax or financial concept encountered rather than explaining every calculation.</t>
  </si>
  <si>
    <t>Education Messages, Results</t>
  </si>
  <si>
    <t>DEV-169</t>
  </si>
  <si>
    <t>Save one permanent Life Ledger record after each completed round. The record represents the player's finalized state and results for that simulated period.</t>
  </si>
  <si>
    <t>DEV-170</t>
  </si>
  <si>
    <t>Life Ledger Financial Data</t>
  </si>
  <si>
    <t>Store Beginning Cash/Resources, Total Income, Living Costs, other major financial inflows/outflows, Resources Retained, Ending Cash/Resources, and active Investment Assets for each round.</t>
  </si>
  <si>
    <t>Cash/Resources, Investments</t>
  </si>
  <si>
    <t>DEV-171</t>
  </si>
  <si>
    <t>Life Ledger Tax Data</t>
  </si>
  <si>
    <t>Store filing status, dependents, deduction method, deduction amount, taxable income, Final Tax, Tax Prepaid, Refund/Amount Due, and applicable penalties for each round.</t>
  </si>
  <si>
    <t>Tax Engine, Tax Rules</t>
  </si>
  <si>
    <t>DEV-172</t>
  </si>
  <si>
    <t>Life Ledger Card Data</t>
  </si>
  <si>
    <t>Store the Card IDs played/drawn during each round, including Income, Life Event, Deduction, Tax Prepayment, Wildcard, and applicable Audit Result.</t>
  </si>
  <si>
    <t>DEV-173</t>
  </si>
  <si>
    <t>Life Ledger State Data</t>
  </si>
  <si>
    <t>Store important end-of-round statuses including filing status, dependents, homeowner status, retirement status, active investments, Pathway, and other persistent effects.</t>
  </si>
  <si>
    <t>DEV-174</t>
  </si>
  <si>
    <t>Historical Records</t>
  </si>
  <si>
    <t>Once a round's Life Ledger entry is finalized, later events should not rewrite that historical entry. Later rounds create new records showing how the player's circumstances changed.</t>
  </si>
  <si>
    <t>DEV-175</t>
  </si>
  <si>
    <t>Round Comparison</t>
  </si>
  <si>
    <t>Allow the app to compare Life Ledger rounds so the player can see changes in income, taxes, household circumstances, and accumulated resources over time.</t>
  </si>
  <si>
    <t>DEV-176</t>
  </si>
  <si>
    <t>If Ending Cash/Resources is negative, display the negative balance rather than replacing it with zero. The result represents simulated financial strain/debt and carries into the next round.</t>
  </si>
  <si>
    <t>DEV-177</t>
  </si>
  <si>
    <t>Retirement Results</t>
  </si>
  <si>
    <t>Retirement rounds use the same general Results/Life Ledger structure so players can compare their working years with retirement. Clearly identify retirement income and accumulated investment resources where applicable.</t>
  </si>
  <si>
    <t>Retirement Cards, Investments</t>
  </si>
  <si>
    <t>DEV-178</t>
  </si>
  <si>
    <t>Final Life Story</t>
  </si>
  <si>
    <r>
      <t xml:space="preserve">After Round 5, use the five finalized Life Ledger records to generate the player's </t>
    </r>
    <r>
      <rPr>
        <sz val="10"/>
        <color theme="1"/>
        <rFont val="Arial Unicode MS"/>
        <family val="2"/>
      </rPr>
      <t>My Tax Life Story</t>
    </r>
    <r>
      <rPr>
        <sz val="12"/>
        <color theme="1"/>
        <rFont val="Calibri"/>
        <family val="2"/>
      </rPr>
      <t>, summarizing major life events, income changes, tax experiences, investments, retirement, and Cash/Resources accumulation.</t>
    </r>
  </si>
  <si>
    <t>Life Ledger, Final Results</t>
  </si>
  <si>
    <t>DEV-179</t>
  </si>
  <si>
    <t>Final Story Accuracy</t>
  </si>
  <si>
    <r>
      <t>My Tax Life Story</t>
    </r>
    <r>
      <rPr>
        <sz val="12"/>
        <color theme="1"/>
        <rFont val="Calibri"/>
        <family val="2"/>
      </rPr>
      <t xml:space="preserve"> must be generated from stored game data and finalized Life Ledger records. Narrative/AI features may explain the journey but must not invent financial events, tax results, or player decisions that did not occur.</t>
    </r>
  </si>
  <si>
    <t>AI, Life Ledger</t>
  </si>
  <si>
    <t>DEV-180</t>
  </si>
  <si>
    <t>Teacher reporting should use game and Life Ledger data to show aggregate learning outcomes and gameplay patterns without requiring real-world taxpayer information from students.</t>
  </si>
  <si>
    <t>Teacher Dashboard, Life Ledger</t>
  </si>
  <si>
    <t>ROUND 3 RESULTS</t>
  </si>
  <si>
    <t>Total Income                    $75,000</t>
  </si>
  <si>
    <t>Deduction Used</t>
  </si>
  <si>
    <t>Standard Deduction              $XX,XXX</t>
  </si>
  <si>
    <t>Taxable Income                  $XX,XXX</t>
  </si>
  <si>
    <t>Final Tax                        $X,XXX</t>
  </si>
  <si>
    <t>Tax Prepaid                      $X,XXX</t>
  </si>
  <si>
    <t>YOUR TAX RESULT</t>
  </si>
  <si>
    <t>Refund                           $XXX</t>
  </si>
  <si>
    <t>YOUR FINANCIAL LIFE</t>
  </si>
  <si>
    <t>Living Costs                    $47,750</t>
  </si>
  <si>
    <t>Resources Retained              $XX,XXX</t>
  </si>
  <si>
    <t>Cash / Resources                $XX,XXX</t>
  </si>
  <si>
    <t>YOUR LIFE THIS ROUND</t>
  </si>
  <si>
    <t>💍 Got Married</t>
  </si>
  <si>
    <t>📈 Acquired Starter Investment</t>
  </si>
  <si>
    <t>WHAT YOU LEARNED</t>
  </si>
  <si>
    <t>Your filing status changed when you got married,</t>
  </si>
  <si>
    <t>which changed the tax rules used for your return.</t>
  </si>
  <si>
    <t>Round</t>
  </si>
  <si>
    <t>Life Stage</t>
  </si>
  <si>
    <t>Major Life Event</t>
  </si>
  <si>
    <t>Final Tax</t>
  </si>
  <si>
    <t>Refund / Due</t>
  </si>
  <si>
    <t>Ending Resources</t>
  </si>
  <si>
    <t>Early Career</t>
  </si>
  <si>
    <t>Standard</t>
  </si>
  <si>
    <t>$X</t>
  </si>
  <si>
    <t>$X Refund</t>
  </si>
  <si>
    <t>Building Years</t>
  </si>
  <si>
    <t>$X Due</t>
  </si>
  <si>
    <t>Mid-Career</t>
  </si>
  <si>
    <t>Itemized</t>
  </si>
  <si>
    <t>Peak Career</t>
  </si>
  <si>
    <t>—</t>
  </si>
  <si>
    <t>Retired</t>
  </si>
  <si>
    <t>DEV-181</t>
  </si>
  <si>
    <t>Data Architecture</t>
  </si>
  <si>
    <t>Separate permanent game-content data from player/session data. Cards, Pathways, Tax Rules, and Game Rules are reusable reference data; player choices and results belong to individual game sessions.</t>
  </si>
  <si>
    <t>Entire App</t>
  </si>
  <si>
    <t>DEV-182</t>
  </si>
  <si>
    <t>Maintain one master Cards dataset using the existing 24-column Cards structure. Card ID is the permanent unique identifier used throughout the app.</t>
  </si>
  <si>
    <t>Cards Sheet</t>
  </si>
  <si>
    <t>DEV-183</t>
  </si>
  <si>
    <t>Card Types</t>
  </si>
  <si>
    <t>Use Card Type to identify the primary deck: Income, Life Event, Deduction, Tax Prepayment, Wildcard, Audit Result, and Retirement.</t>
  </si>
  <si>
    <t>DEV-184</t>
  </si>
  <si>
    <t>Card Effects</t>
  </si>
  <si>
    <t>Initial development may read Effect Type, Effect Value, Amount, and Duration directly from the Cards dataset. The architecture should allow migration to a separate Card Effects table if multi-effect cards become difficult to manage.</t>
  </si>
  <si>
    <t>Cards, Investments, Retirement</t>
  </si>
  <si>
    <t>DEV-185</t>
  </si>
  <si>
    <t>Pathways</t>
  </si>
  <si>
    <t>Maintain Pathways as a separate reference dataset using Pathway ID as the permanent unique identifier. Pathway rules should not be duplicated onto individual Cards unless a specific card interaction requires it.</t>
  </si>
  <si>
    <t>Pathways Sheet</t>
  </si>
  <si>
    <t>DEV-186</t>
  </si>
  <si>
    <t>Tax Rules</t>
  </si>
  <si>
    <t>Maintain year-specific tax values separately from physical Cards. Each game session selects a Tax Year, and the app retrieves the applicable standard deduction, brackets, credits, and other necessary values for that year.</t>
  </si>
  <si>
    <t>Tax Rules Sheet</t>
  </si>
  <si>
    <t>DEV-187</t>
  </si>
  <si>
    <t>Tax Rule IDs</t>
  </si>
  <si>
    <t>Every Tax Rule should have a permanent Rule ID so calculations reference rules by ID/type rather than by spreadsheet row number or display text.</t>
  </si>
  <si>
    <t>DEV-188</t>
  </si>
  <si>
    <t>Maintain non-tax gameplay values separately from Tax Rules. Game Rules include values such as Living Cost formula parameters, number of rounds, effect timing, and other adjustable simulation settings.</t>
  </si>
  <si>
    <t>DEV-189</t>
  </si>
  <si>
    <t>Tax vs. Game Rules</t>
  </si>
  <si>
    <t>Tax Rules represent tax-year-dependent values. Game Rules represent simulation/design choices. Do not mix the two simply because both contain numeric values.</t>
  </si>
  <si>
    <t>Tax Rules, Game Rules</t>
  </si>
  <si>
    <t>DEV-190</t>
  </si>
  <si>
    <r>
      <t xml:space="preserve">Every game session must store its selected Tax Year. All </t>
    </r>
    <r>
      <rPr>
        <sz val="10"/>
        <color theme="1"/>
        <rFont val="Arial Unicode MS"/>
        <family val="2"/>
      </rPr>
      <t>$X</t>
    </r>
    <r>
      <rPr>
        <sz val="12"/>
        <color theme="1"/>
        <rFont val="Calibri"/>
        <family val="2"/>
      </rPr>
      <t xml:space="preserve"> values displayed from physical cards should be resolved using that session's Tax Year.</t>
    </r>
  </si>
  <si>
    <t>Tax Rules, Cards, Sessions</t>
  </si>
  <si>
    <t>DEV-191</t>
  </si>
  <si>
    <t>Display Values</t>
  </si>
  <si>
    <r>
      <t xml:space="preserve">Physical-card placeholders such as </t>
    </r>
    <r>
      <rPr>
        <sz val="10"/>
        <color theme="1"/>
        <rFont val="Arial Unicode MS"/>
        <family val="2"/>
      </rPr>
      <t>$X</t>
    </r>
    <r>
      <rPr>
        <sz val="12"/>
        <color theme="1"/>
        <rFont val="Calibri"/>
        <family val="2"/>
      </rPr>
      <t xml:space="preserve"> should remain generic in card content. The app retrieves and displays the applicable current game-year value when the player selects the card.</t>
    </r>
  </si>
  <si>
    <t>Life Events, Tax Rules</t>
  </si>
  <si>
    <t>DEV-192</t>
  </si>
  <si>
    <t>Active Records</t>
  </si>
  <si>
    <r>
      <t xml:space="preserve">Use the existing </t>
    </r>
    <r>
      <rPr>
        <sz val="10"/>
        <color theme="1"/>
        <rFont val="Arial Unicode MS"/>
        <family val="2"/>
      </rPr>
      <t>Active</t>
    </r>
    <r>
      <rPr>
        <sz val="12"/>
        <color theme="1"/>
        <rFont val="Calibri"/>
        <family val="2"/>
      </rPr>
      <t xml:space="preserve"> field to allow Cards, Pathways, and rules to be disabled without permanently deleting historical records or changing their IDs.</t>
    </r>
  </si>
  <si>
    <t>Cards, Pathways, Tax Rules</t>
  </si>
  <si>
    <t>DEV-193</t>
  </si>
  <si>
    <t>Versioning</t>
  </si>
  <si>
    <t>Avoid changing the meaning of an existing permanent ID after games have been played with it. If a substantially different Card or Rule replaces an old one, create a new ID or version so historical Life Ledger records remain understandable.</t>
  </si>
  <si>
    <t>All Reference Data</t>
  </si>
  <si>
    <t>DEV-194</t>
  </si>
  <si>
    <t>Source of Truth</t>
  </si>
  <si>
    <t>During initial development, the workbook may serve as the master content specification. Application data should be imported or translated from these defined structures rather than manually recreating rules throughout the codebase.</t>
  </si>
  <si>
    <t>Workbook, App Database</t>
  </si>
  <si>
    <t>DEV-195</t>
  </si>
  <si>
    <t>Calculation Logic</t>
  </si>
  <si>
    <t>Reference data provides values and instructions, while application code performs deterministic calculations. Do not store executable tax logic as free-form spreadsheet text and attempt to interpret it dynamically during gameplay.</t>
  </si>
  <si>
    <t>Tax Engine, Game Engine</t>
  </si>
  <si>
    <t>DEV-196</t>
  </si>
  <si>
    <t>Educational Content</t>
  </si>
  <si>
    <t>Education Messages and Result Messages should remain content fields separate from calculation logic. Changing explanatory wording should not change the underlying calculation.</t>
  </si>
  <si>
    <t>Cards, Results</t>
  </si>
  <si>
    <t>DEV-197</t>
  </si>
  <si>
    <t>Data Relationships</t>
  </si>
  <si>
    <t>Player/session records should reference Cards, Pathways, and Rules using their permanent IDs rather than copying entire reference records into player state.</t>
  </si>
  <si>
    <t>Database</t>
  </si>
  <si>
    <t>DEV-198</t>
  </si>
  <si>
    <t>Historical Snapshot</t>
  </si>
  <si>
    <t>When values may change over time, finalized round results should store the actual calculated values used in that round. Historical results should not change simply because the master Tax Rules dataset is later updated.</t>
  </si>
  <si>
    <t>Life Ledger, Tax Rules</t>
  </si>
  <si>
    <t>DEV-199</t>
  </si>
  <si>
    <t>Simplified Rules</t>
  </si>
  <si>
    <t>The database should distinguish between actual tax-year reference values and game-specific simplifications so the app does not accidentally present a simulation rule as a universal tax rule.</t>
  </si>
  <si>
    <t>Tax Rules, Game Rules, Education Content</t>
  </si>
  <si>
    <t>DEV-200</t>
  </si>
  <si>
    <t>Future Expansion</t>
  </si>
  <si>
    <t>Data architecture should allow additional Tax Years, Cards, Pathways, rules, and eventually state-tax modules without requiring existing Card IDs or historical game records to be rebuilt.</t>
  </si>
  <si>
    <t>DEV-201</t>
  </si>
  <si>
    <t>Game Session</t>
  </si>
  <si>
    <t>Every game creates a unique Game Session used to connect players, rounds, settings, and results from the same game.</t>
  </si>
  <si>
    <t>DEV-202</t>
  </si>
  <si>
    <t>Session Code</t>
  </si>
  <si>
    <t>Each Game Session generates a simple Session Code that students use to join the game.</t>
  </si>
  <si>
    <t>Game Session, Student Login</t>
  </si>
  <si>
    <t>DEV-203</t>
  </si>
  <si>
    <t>Player Identity</t>
  </si>
  <si>
    <t>Players join using a display name or nickname. Do not require real taxpayer information, SSNs, tax documents, or actual financial information.</t>
  </si>
  <si>
    <t>Player, Student Login</t>
  </si>
  <si>
    <t>DEV-204</t>
  </si>
  <si>
    <t>Player ID</t>
  </si>
  <si>
    <t>Assign each player a unique internal Player ID. Use Player ID rather than display name as the permanent reference throughout game data.</t>
  </si>
  <si>
    <t>Player</t>
  </si>
  <si>
    <t>DEV-205</t>
  </si>
  <si>
    <t>Session Tax Year</t>
  </si>
  <si>
    <t>Store the selected Tax Year at the Game Session level so all players in the same session use the same Tax Rules.</t>
  </si>
  <si>
    <t>Game Session, Tax Rules</t>
  </si>
  <si>
    <t>DEV-206</t>
  </si>
  <si>
    <t>Session Game Rules</t>
  </si>
  <si>
    <t>Store or reference the Game Rules version used by the session so all players use the same Living Cost formula, number of rounds, and other simulation settings.</t>
  </si>
  <si>
    <t>Game Session, Game Rules</t>
  </si>
  <si>
    <t>DEV-207</t>
  </si>
  <si>
    <t>Player Pathway</t>
  </si>
  <si>
    <t>Store the player's selected Pathway ID as part of Player State. Pathway rules remain active throughout the game unless a future rule explicitly changes the Pathway.</t>
  </si>
  <si>
    <t>DEV-208</t>
  </si>
  <si>
    <t>Current Round</t>
  </si>
  <si>
    <t>Store the player's current Round number and current stage within the round so the game can resume at the correct point if interrupted.</t>
  </si>
  <si>
    <t>DEV-209</t>
  </si>
  <si>
    <t>Round Stage</t>
  </si>
  <si>
    <t>Track the player's current stage as Income, Life Event, Deduction, Tax Prepayment, Wildcard, Audit, or Results. Do not allow stages to be accidentally processed twice.</t>
  </si>
  <si>
    <t>DEV-210</t>
  </si>
  <si>
    <t>Filing Status State</t>
  </si>
  <si>
    <t>Store the player's current filing status as persistent Player State. Update it when an applicable Life Event occurs.</t>
  </si>
  <si>
    <t>DEV-211</t>
  </si>
  <si>
    <t>Dependent State</t>
  </si>
  <si>
    <t>Store active dependents as part of Player State, including source, dependent type, start round, duration, and whether the dependent comes from a Pathway or Life Event.</t>
  </si>
  <si>
    <t>Dependent Life Events, Caregiver</t>
  </si>
  <si>
    <t>DEV-212</t>
  </si>
  <si>
    <t>Homeowner State</t>
  </si>
  <si>
    <t>Store whether the player currently has active Homeowner status and the source/duration of that status.</t>
  </si>
  <si>
    <t>LIFE-005, LIFE-009, Home Builder</t>
  </si>
  <si>
    <t>DEV-213</t>
  </si>
  <si>
    <t>Store whether the player is currently retired and the round retirement began. Retirement status remains active after transition.</t>
  </si>
  <si>
    <t>Retirement, Early Retiree</t>
  </si>
  <si>
    <t>DEV-214</t>
  </si>
  <si>
    <t>Cash / Resources State</t>
  </si>
  <si>
    <t>Store the player's current Cash/Resources balance as a persistent numeric value. Ending Cash/Resources becomes the next round's Beginning Cash/Resources.</t>
  </si>
  <si>
    <t>DEV-215</t>
  </si>
  <si>
    <t>Investment State</t>
  </si>
  <si>
    <t>Store each acquired investment separately, including source Card ID, acquisition round, recurring income amount, retirement value, and active status.</t>
  </si>
  <si>
    <t>DEV-216</t>
  </si>
  <si>
    <t>Store the individual income sources applicable to the current round rather than only storing one combined income number. Preserve each source's Card ID/type and amount.</t>
  </si>
  <si>
    <t>Income Cards, Wildcards, Investments, Retirement</t>
  </si>
  <si>
    <t>DEV-217</t>
  </si>
  <si>
    <t>Primary Income</t>
  </si>
  <si>
    <t>Track primary income separately where needed for Pathway mechanics such as Corporate Climber. Do not overwrite historical income when a new primary income is selected.</t>
  </si>
  <si>
    <t>Corporate Climber, Income Cards</t>
  </si>
  <si>
    <t>DEV-218</t>
  </si>
  <si>
    <t>Active Effects</t>
  </si>
  <si>
    <t>Maintain an Active Effects collection for temporary and persistent effects that extend beyond the card's initial processing stage.</t>
  </si>
  <si>
    <t>DEV-219</t>
  </si>
  <si>
    <t>Active Effect Timing</t>
  </si>
  <si>
    <t>Each Active Effect should retain enough information to determine when it began, when it expires, and which Card or Pathway created it.</t>
  </si>
  <si>
    <t>DEV-220</t>
  </si>
  <si>
    <t>Current Deduction State</t>
  </si>
  <si>
    <t>Store the current round's selected Deduction card and resulting deduction method/amount separately from persistent Player State because deduction calculations generally reset each round.</t>
  </si>
  <si>
    <t>Deduction Cards</t>
  </si>
  <si>
    <t>DEV-221</t>
  </si>
  <si>
    <t>Current Prepayment State</t>
  </si>
  <si>
    <t>Store the current round's Tax Prepayment card and rate separately from persistent Player State. Tax Prepayment resets with the next round.</t>
  </si>
  <si>
    <t>DEV-222</t>
  </si>
  <si>
    <t>Current Wildcard State</t>
  </si>
  <si>
    <t>Store the current round's Wildcard and its applied effects. Persistent effects created by the Wildcard should also be added to the appropriate persistent Player State.</t>
  </si>
  <si>
    <t>Wildcards</t>
  </si>
  <si>
    <t>DEV-223</t>
  </si>
  <si>
    <t>Current Audit State</t>
  </si>
  <si>
    <t>Track whether an Audit was triggered during the current round, the Audit Result selected, and any resulting adjustment or penalty. Audit state resets after the round is finalized.</t>
  </si>
  <si>
    <t>DEV-224</t>
  </si>
  <si>
    <t>Round Draft State</t>
  </si>
  <si>
    <t>Calculations performed during an unfinished round should remain Draft data until the player reaches Results and the round is finalized.</t>
  </si>
  <si>
    <t>DEV-225</t>
  </si>
  <si>
    <t>Round Finalization</t>
  </si>
  <si>
    <t>Once Results are confirmed, create the finalized Life Ledger record, update persistent Player State, expire applicable effects, and advance the player to the next round.</t>
  </si>
  <si>
    <t>DEV-226</t>
  </si>
  <si>
    <t>Resume Game</t>
  </si>
  <si>
    <t>An interrupted game should be recoverable using saved Game Session, Player State, Current Round, and Round Stage data without requiring the player to restart.</t>
  </si>
  <si>
    <t>Game Session, Player State</t>
  </si>
  <si>
    <t>DEV-227</t>
  </si>
  <si>
    <t>Duplicate Protection</t>
  </si>
  <si>
    <t>Card effects, taxes, Cash/Resources changes, and round finalization must be protected from accidental duplicate processing caused by refreshes, repeated clicks, or reconnecting to a session.</t>
  </si>
  <si>
    <t>Game Engine</t>
  </si>
  <si>
    <t>DEV-228</t>
  </si>
  <si>
    <t>Player State vs. History</t>
  </si>
  <si>
    <r>
      <t xml:space="preserve">Player State represents what is true </t>
    </r>
    <r>
      <rPr>
        <b/>
        <sz val="12"/>
        <color theme="1"/>
        <rFont val="Calibri"/>
        <family val="2"/>
      </rPr>
      <t>now</t>
    </r>
    <r>
      <rPr>
        <sz val="12"/>
        <color theme="1"/>
        <rFont val="Calibri"/>
        <family val="2"/>
      </rPr>
      <t xml:space="preserve">. Round History and Life Ledger represent what happened </t>
    </r>
    <r>
      <rPr>
        <b/>
        <sz val="12"/>
        <color theme="1"/>
        <rFont val="Calibri"/>
        <family val="2"/>
      </rPr>
      <t>previously</t>
    </r>
    <r>
      <rPr>
        <sz val="12"/>
        <color theme="1"/>
        <rFont val="Calibri"/>
        <family val="2"/>
      </rPr>
      <t>. Do not use current Player State as a replacement for historical records.</t>
    </r>
  </si>
  <si>
    <t>DEV-229</t>
  </si>
  <si>
    <t>Session Status</t>
  </si>
  <si>
    <t>Store Game Session status such as Waiting, Active, Completed, or Archived so the app knows whether new players may join and whether gameplay can continue.</t>
  </si>
  <si>
    <t>DEV-230</t>
  </si>
  <si>
    <t>Player Status</t>
  </si>
  <si>
    <t>Store player status such as Joined, Playing, Completed, or Disconnected to support classroom session management.</t>
  </si>
  <si>
    <t>Player, Teacher Dashboard</t>
  </si>
  <si>
    <t>DEV-231</t>
  </si>
  <si>
    <t>Round History</t>
  </si>
  <si>
    <t>Create one Round History record for each player for each round. The record tracks the cards selected and events that occurred during that round.</t>
  </si>
  <si>
    <t>Player, Game Session, Rounds</t>
  </si>
  <si>
    <t>DEV-232</t>
  </si>
  <si>
    <t>Round Identification</t>
  </si>
  <si>
    <t>Each Round History record should include Player ID, Session ID, Round Number, and a unique Round ID so the round can be reliably connected to its cards and final results.</t>
  </si>
  <si>
    <t>DEV-233</t>
  </si>
  <si>
    <t>Record every physical card entered or selected in the app during gameplay using its permanent Card ID.</t>
  </si>
  <si>
    <t>DEV-234</t>
  </si>
  <si>
    <t>Card Stage</t>
  </si>
  <si>
    <t>Store the round stage associated with each selected card: Income, Life Event, Deduction, Tax Prepayment, Wildcard, or Audit Result.</t>
  </si>
  <si>
    <t>DEV-235</t>
  </si>
  <si>
    <t>Card Order</t>
  </si>
  <si>
    <t>Record the order in which cards were processed within the round so the game history can be reconstructed if necessary.</t>
  </si>
  <si>
    <t>Round History, Cards</t>
  </si>
  <si>
    <t>DEV-236</t>
  </si>
  <si>
    <t>Multiple Income Cards</t>
  </si>
  <si>
    <t>Allow multiple Income Card records within the same round for Pathways and Wildcards that create additional income sources.</t>
  </si>
  <si>
    <t>Corporate Climber, Entrepreneur, Side Hustler, Wildcards</t>
  </si>
  <si>
    <t>DEV-237</t>
  </si>
  <si>
    <t>Card Source</t>
  </si>
  <si>
    <t>Record whether a card was selected as a normal round draw, Pathway-generated draw, Wildcard effect, Audit Result, starting Pathway benefit, or another defined source.</t>
  </si>
  <si>
    <t>Cards, Pathways</t>
  </si>
  <si>
    <t>DEV-238</t>
  </si>
  <si>
    <t>Card Applicability</t>
  </si>
  <si>
    <t>If a physical card is drawn but determined to be inapplicable and must be redrawn, do not apply its effect to Player State or tax calculations.</t>
  </si>
  <si>
    <t>Life Events, Deductions, Audit Results</t>
  </si>
  <si>
    <t>DEV-239</t>
  </si>
  <si>
    <t>Redraw History</t>
  </si>
  <si>
    <t>The beta may optionally record inapplicable/redrawn cards for testing purposes, but redraws should be clearly marked and excluded from the player's financial and tax results.</t>
  </si>
  <si>
    <t>Physical Card Draws, Beta Analytics</t>
  </si>
  <si>
    <t>DEV-240</t>
  </si>
  <si>
    <t>Applied Effects</t>
  </si>
  <si>
    <t>When a card is processed, record the effect actually applied during that round so historical gameplay can be understood even if the master card definition changes later.</t>
  </si>
  <si>
    <t>DEV-241</t>
  </si>
  <si>
    <t>Card Amount Snapshot</t>
  </si>
  <si>
    <t>Store the relevant dollar amount or numeric value actually used when a card is processed. Do not rely exclusively on the current master Card record for historical calculations.</t>
  </si>
  <si>
    <t>Card History, Cards</t>
  </si>
  <si>
    <t>DEV-242</t>
  </si>
  <si>
    <t>Tax Rule Value Snapshot</t>
  </si>
  <si>
    <r>
      <t xml:space="preserve">When a card displays </t>
    </r>
    <r>
      <rPr>
        <sz val="10"/>
        <color theme="1"/>
        <rFont val="Arial Unicode MS"/>
        <family val="2"/>
      </rPr>
      <t>$X</t>
    </r>
    <r>
      <rPr>
        <sz val="12"/>
        <color theme="1"/>
        <rFont val="Calibri"/>
        <family val="2"/>
      </rPr>
      <t xml:space="preserve"> from the selected Tax Year, store the actual value used in the round history/results so future Tax Rule updates do not change the historical outcome.</t>
    </r>
  </si>
  <si>
    <t>DEV-243</t>
  </si>
  <si>
    <t>Player Choice</t>
  </si>
  <si>
    <t>If a card requires a player decision, store the choice made separately from the Card ID.</t>
  </si>
  <si>
    <t>WILD-004, Future Choice Cards</t>
  </si>
  <si>
    <t>DEV-244</t>
  </si>
  <si>
    <t>Pathway Interaction</t>
  </si>
  <si>
    <t>When a Pathway changes how a card is processed, record the Pathway interaction that occurred rather than modifying the master Card record.</t>
  </si>
  <si>
    <t>Pathways, Cards</t>
  </si>
  <si>
    <t>DEV-245</t>
  </si>
  <si>
    <t>Persistent Effect Creation</t>
  </si>
  <si>
    <t>If a card creates a persistent or multi-round effect, Card History should record that the effect was created while Player State stores the currently active effect.</t>
  </si>
  <si>
    <t>Life Events, Investments</t>
  </si>
  <si>
    <t>DEV-246</t>
  </si>
  <si>
    <t>Persistent Effect Removal</t>
  </si>
  <si>
    <t>When an effect expires or is removed by another card, record the expiration/removal event so the historical timeline can explain why the player's state changed.</t>
  </si>
  <si>
    <t>Dependents, Homeowner Status, Active Effects</t>
  </si>
  <si>
    <t>DEV-247</t>
  </si>
  <si>
    <t>Wildcard History</t>
  </si>
  <si>
    <t>Record the Wildcard selected and its actual outcome, including any income, Cash/Resources, investment, expense, education, or Audit effect produced.</t>
  </si>
  <si>
    <t>DEV-248</t>
  </si>
  <si>
    <t>Audit History</t>
  </si>
  <si>
    <t>When an Audit occurs, record both the Audit Trigger and Audit Result, including any adjustment, penalty, or no-change result.</t>
  </si>
  <si>
    <t>DEV-249</t>
  </si>
  <si>
    <t>Calculation Revisions</t>
  </si>
  <si>
    <t>If a Wildcard or Audit causes the current round's tax calculation to be rerun, only the final calculation becomes the finalized round result. Intermediate calculations may remain temporary/debug data but should not appear as separate Life Ledger results.</t>
  </si>
  <si>
    <t>Tax Engine, Audit, Wildcards</t>
  </si>
  <si>
    <t>DEV-250</t>
  </si>
  <si>
    <t>Round Status</t>
  </si>
  <si>
    <r>
      <t xml:space="preserve">Each round should have a status such as </t>
    </r>
    <r>
      <rPr>
        <sz val="10"/>
        <color theme="1"/>
        <rFont val="Arial Unicode MS"/>
        <family val="2"/>
      </rPr>
      <t>In Progress</t>
    </r>
    <r>
      <rPr>
        <sz val="12"/>
        <color theme="1"/>
        <rFont val="Calibri"/>
        <family val="2"/>
      </rPr>
      <t xml:space="preserve">, </t>
    </r>
    <r>
      <rPr>
        <sz val="10"/>
        <color theme="1"/>
        <rFont val="Arial Unicode MS"/>
        <family val="2"/>
      </rPr>
      <t>Finalized</t>
    </r>
    <r>
      <rPr>
        <sz val="12"/>
        <color theme="1"/>
        <rFont val="Calibri"/>
        <family val="2"/>
      </rPr>
      <t xml:space="preserve">, or </t>
    </r>
    <r>
      <rPr>
        <sz val="10"/>
        <color theme="1"/>
        <rFont val="Arial Unicode MS"/>
        <family val="2"/>
      </rPr>
      <t>Voided</t>
    </r>
    <r>
      <rPr>
        <sz val="12"/>
        <color theme="1"/>
        <rFont val="Calibri"/>
        <family val="2"/>
      </rPr>
      <t>. Only Finalized rounds become permanent Life Ledger entries.</t>
    </r>
  </si>
  <si>
    <t>Round History, Life Ledger</t>
  </si>
  <si>
    <t>DEV-251</t>
  </si>
  <si>
    <t>Finalized History</t>
  </si>
  <si>
    <t>Once a round is finalized, its Card History and calculated outcome should not be silently changed. Corrections should be handled explicitly rather than rewriting history without a record.</t>
  </si>
  <si>
    <t>DEV-252</t>
  </si>
  <si>
    <t>Duplicate Card Protection</t>
  </si>
  <si>
    <t>Prevent the same card-selection action from being processed multiple times because of double-clicks, page refreshes, or reconnects. This does not prevent a player from legitimately receiving the same card in different rounds when game rules allow it.</t>
  </si>
  <si>
    <t>App, Card History</t>
  </si>
  <si>
    <t>DEV-253</t>
  </si>
  <si>
    <t>Physical vs. Digital Draw</t>
  </si>
  <si>
    <t>The physical deck determines which card is drawn. The app records the player's selected physical card and applies its rules; the app should not randomly substitute a different physical card.</t>
  </si>
  <si>
    <t>Physical Cards, App</t>
  </si>
  <si>
    <t>DEV-254</t>
  </si>
  <si>
    <t>Digital Eligibility</t>
  </si>
  <si>
    <t>The app should validate whether the selected physical card is applicable to the player's current state and instruct the player to redraw when required.</t>
  </si>
  <si>
    <t>Cards, Player State</t>
  </si>
  <si>
    <t>DEV-255</t>
  </si>
  <si>
    <t>History Purpose</t>
  </si>
  <si>
    <t>Round/Card History exists for game reconstruction, Life Ledger generation, teacher analytics, debugging, and future educational explanations. It should not be treated as current Player State.</t>
  </si>
  <si>
    <t>Round History, Teacher Dashboard</t>
  </si>
  <si>
    <t>DEV-256</t>
  </si>
  <si>
    <t>Create one finalized Life Ledger record for each player after each completed round.</t>
  </si>
  <si>
    <t>Player, Round History, Results</t>
  </si>
  <si>
    <t>DEV-257</t>
  </si>
  <si>
    <t>Ledger Identification</t>
  </si>
  <si>
    <t>Each Life Ledger record should reference Session ID, Player ID, Round ID, Round Number, and selected Tax Year.</t>
  </si>
  <si>
    <t>Game Session, Player, Round History</t>
  </si>
  <si>
    <t>DEV-258</t>
  </si>
  <si>
    <t>Finalized Snapshot</t>
  </si>
  <si>
    <t>The Life Ledger is a snapshot of the player's finalized round results. It should store the values actually used during that round rather than recalculating them later from current reference data.</t>
  </si>
  <si>
    <t>DEV-259</t>
  </si>
  <si>
    <t>Store the player's Beginning Cash/Resources balance for the round.</t>
  </si>
  <si>
    <t>DEV-260</t>
  </si>
  <si>
    <t>Store Total Income for the round while preserving access to the underlying income-source history through Round/Card History.</t>
  </si>
  <si>
    <t>DEV-261</t>
  </si>
  <si>
    <t>Store the filing status actually used for the round's tax calculation.</t>
  </si>
  <si>
    <t>DEV-262</t>
  </si>
  <si>
    <t>Store the number and applicable type of active dependents used for the round's tax calculation.</t>
  </si>
  <si>
    <t>Life Events, Caregiver</t>
  </si>
  <si>
    <t>DEV-263</t>
  </si>
  <si>
    <t>Store whether Homeowner status was active for the finalized round.</t>
  </si>
  <si>
    <t>Home Builder, LIFE-005, LIFE-009</t>
  </si>
  <si>
    <t>DEV-264</t>
  </si>
  <si>
    <t>Deduction Result</t>
  </si>
  <si>
    <t>Store the deduction method used and the final deduction amount applied to the round.</t>
  </si>
  <si>
    <t>DEV-265</t>
  </si>
  <si>
    <t>Taxable Income</t>
  </si>
  <si>
    <t>Store the finalized Taxable Income used to calculate federal tax for the round.</t>
  </si>
  <si>
    <t>DEV-266</t>
  </si>
  <si>
    <t>Credits</t>
  </si>
  <si>
    <t>Store the total tax credits applied during the round. Detailed credit information may remain available through the underlying calculation/history data.</t>
  </si>
  <si>
    <t>Dependents, Education, Tax Rules</t>
  </si>
  <si>
    <t>DEV-267</t>
  </si>
  <si>
    <t>Store the player's finalized tax liability after applicable deductions, credits, special tax treatment, and Audit adjustments.</t>
  </si>
  <si>
    <t>Tax Engine, Audit Results</t>
  </si>
  <si>
    <t>DEV-268</t>
  </si>
  <si>
    <t>Store the Tax Prepayment rate and actual amount prepaid for the round.</t>
  </si>
  <si>
    <t>DEV-269</t>
  </si>
  <si>
    <t>Store the finalized Refund or Amount Due resulting from the comparison of Tax Prepayment with Final Tax.</t>
  </si>
  <si>
    <t>DEV-270</t>
  </si>
  <si>
    <t>Store any separately triggered penalty applied during the round. Keep penalties distinguishable from regular tax liability and Amount Due.</t>
  </si>
  <si>
    <t>DEV-271</t>
  </si>
  <si>
    <t>Store the simulated Living Costs applied during the round.</t>
  </si>
  <si>
    <t>Game Rules, Cash/Resources</t>
  </si>
  <si>
    <t>DEV-272</t>
  </si>
  <si>
    <t>Other Financial Changes</t>
  </si>
  <si>
    <t>Store major non-tax financial inflows or outflows that affected Cash/Resources, such as inheritance or unexpected personal expenses.</t>
  </si>
  <si>
    <t>Wildcards, Cash/Resources</t>
  </si>
  <si>
    <t>DEV-273</t>
  </si>
  <si>
    <t>Store the net amount of Cash/Resources gained or lost during the round after applicable income, taxes, Living Costs, expenses, and other financial effects.</t>
  </si>
  <si>
    <t>DEV-274</t>
  </si>
  <si>
    <t>Store the finalized Ending Cash/Resources balance. This becomes Beginning Cash/Resources for the following round.</t>
  </si>
  <si>
    <t>DEV-275</t>
  </si>
  <si>
    <t>Investment Assets</t>
  </si>
  <si>
    <t>Store or reference the active investment assets at the end of the round so the player's wealth accumulation can be reconstructed over time.</t>
  </si>
  <si>
    <t>DEV-276</t>
  </si>
  <si>
    <t>Retirement Status</t>
  </si>
  <si>
    <t>Store whether the player was working or retired during the round.</t>
  </si>
  <si>
    <t>Retirement Cards, Early Retiree</t>
  </si>
  <si>
    <t>DEV-277</t>
  </si>
  <si>
    <t>Major Life Events</t>
  </si>
  <si>
    <t>Store/reference the major Life Event and other significant state changes occurring during the round for use in the player's timeline and final story.</t>
  </si>
  <si>
    <t>Life Events, Pathways</t>
  </si>
  <si>
    <t>DEV-278</t>
  </si>
  <si>
    <t>Educational Summary</t>
  </si>
  <si>
    <t>Store or generate a short educational summary explaining the primary tax/financial concept demonstrated by the player's round.</t>
  </si>
  <si>
    <t>DEV-279</t>
  </si>
  <si>
    <t>Card References</t>
  </si>
  <si>
    <t>The Life Ledger should reference the finalized Round History rather than duplicating every Card History record inside the ledger.</t>
  </si>
  <si>
    <t>Round History, Card History</t>
  </si>
  <si>
    <t>DEV-280</t>
  </si>
  <si>
    <t>Historical Integrity</t>
  </si>
  <si>
    <t>Once finalized, a Life Ledger record should not automatically change because Cards, Tax Rules, Game Rules, or educational wording are later updated.</t>
  </si>
  <si>
    <t>Life Ledger, Reference Data</t>
  </si>
  <si>
    <t>DEV-281</t>
  </si>
  <si>
    <t>Life Ledger records should support comparison across rounds so the app can show changes in income, tax, household circumstances, investments, and Cash/Resources over time.</t>
  </si>
  <si>
    <t>DEV-282</t>
  </si>
  <si>
    <t>Wealth Progression</t>
  </si>
  <si>
    <t>Use Beginning Resources, Ending Resources, and Investment Assets to show simulated wealth accumulation or financial strain across the player's life.</t>
  </si>
  <si>
    <t>DEV-283</t>
  </si>
  <si>
    <t>Tax Progression</t>
  </si>
  <si>
    <t>Use Life Ledger records to show how filing status, dependents, deductions, income, credits, and tax results changed throughout the player's simulated life.</t>
  </si>
  <si>
    <t>Tax Engine, Life Events</t>
  </si>
  <si>
    <t>DEV-284</t>
  </si>
  <si>
    <t>Final Game Results</t>
  </si>
  <si>
    <t>After the final round, use all finalized Life Ledger records to produce the player's end-of-game financial and tax summary.</t>
  </si>
  <si>
    <t>Round 5, Results</t>
  </si>
  <si>
    <t>DEV-285</t>
  </si>
  <si>
    <t>My Tax Life Story</t>
  </si>
  <si>
    <r>
      <t xml:space="preserve">Generate </t>
    </r>
    <r>
      <rPr>
        <sz val="10"/>
        <color theme="1"/>
        <rFont val="Arial Unicode MS"/>
        <family val="2"/>
      </rPr>
      <t>My Tax Life Story</t>
    </r>
    <r>
      <rPr>
        <sz val="12"/>
        <color theme="1"/>
        <rFont val="Calibri"/>
        <family val="2"/>
      </rPr>
      <t xml:space="preserve"> from finalized Life Ledger and Round History data, highlighting major life changes, income progression, tax experiences, investments, retirement, and accumulated resources.</t>
    </r>
  </si>
  <si>
    <t>Life Ledger, Round History</t>
  </si>
  <si>
    <t>DEV-286</t>
  </si>
  <si>
    <t>Story Accuracy</t>
  </si>
  <si>
    <t>AI or narrative-generation features may explain the player's journey but must use stored game facts. They must not invent cards, income, tax outcomes, life events, or financial results.</t>
  </si>
  <si>
    <t>AI, My Tax Life Story</t>
  </si>
  <si>
    <t>DEV-287</t>
  </si>
  <si>
    <t>Player Access</t>
  </si>
  <si>
    <t>Players should be able to review completed Life Ledger rounds during or after the game without altering the finalized historical records.</t>
  </si>
  <si>
    <t>Player UI, Life Ledger</t>
  </si>
  <si>
    <t>DEV-288</t>
  </si>
  <si>
    <t>Teacher Use</t>
  </si>
  <si>
    <t>Life Ledger data may support classroom reporting and learning analysis, but teacher views should prioritize educational outcomes rather than presenting the simulation as a student's real financial profile.</t>
  </si>
  <si>
    <t>DEV-289</t>
  </si>
  <si>
    <t>Simulated Data</t>
  </si>
  <si>
    <t>Clearly treat all Life Ledger financial values as simulated game data. Do not imply that the Life Ledger is an actual tax return, financial statement, or tax advice.</t>
  </si>
  <si>
    <t>Life Ledger, Results</t>
  </si>
  <si>
    <t>DEV-290</t>
  </si>
  <si>
    <t>Data Retention</t>
  </si>
  <si>
    <t>Keep Life Ledger records associated with their Game Session so completed games can be reviewed or analyzed according to the application's eventual classroom data-retention settings.</t>
  </si>
  <si>
    <t>Game Session, Teacher Dashboard</t>
  </si>
  <si>
    <t>DEV-291</t>
  </si>
  <si>
    <t>Classroom Session</t>
  </si>
  <si>
    <t>Allow a teacher/facilitator to create a classroom Game Session and generate a Session Code students use to join.</t>
  </si>
  <si>
    <t>Game Session, Session Code</t>
  </si>
  <si>
    <t>DEV-292</t>
  </si>
  <si>
    <t>Classroom Identification</t>
  </si>
  <si>
    <t>Each classroom Game Session should have a unique Session ID and may include a teacher-defined class/session name for easier identification.</t>
  </si>
  <si>
    <t>DEV-293</t>
  </si>
  <si>
    <t>Student Join</t>
  </si>
  <si>
    <t>Students join using the Session Code and a display name/nickname. Do not require real financial information or taxpayer information.</t>
  </si>
  <si>
    <t>Player, Game Session</t>
  </si>
  <si>
    <t>DEV-294</t>
  </si>
  <si>
    <t>Teacher Session View</t>
  </si>
  <si>
    <t>Teacher should be able to see the number of players who joined, are currently playing, and completed the game.</t>
  </si>
  <si>
    <t>Player Status, Game Session</t>
  </si>
  <si>
    <t>DEV-295</t>
  </si>
  <si>
    <t>Player Progress</t>
  </si>
  <si>
    <t>Teacher should be able to see each player's current round and whether the player has completed the game.</t>
  </si>
  <si>
    <t>Player State, Round History</t>
  </si>
  <si>
    <t>DEV-296</t>
  </si>
  <si>
    <t>Pathway Distribution</t>
  </si>
  <si>
    <t>Track which Pathways are being used within a session so the teacher can see the variety of simulated financial lives represented in the class.</t>
  </si>
  <si>
    <t>Pathways, Players</t>
  </si>
  <si>
    <t>DEV-297</t>
  </si>
  <si>
    <t>Concept Tracking</t>
  </si>
  <si>
    <t>Track major tax and financial concepts encountered during gameplay, such as filing status, dependents, deductions, credits, tax prepayment, business income, investments, audits, retirement, and Cash/Resources.</t>
  </si>
  <si>
    <t>Cards, Life Ledger</t>
  </si>
  <si>
    <t>DEV-298</t>
  </si>
  <si>
    <t>Concept Exposure</t>
  </si>
  <si>
    <t>Teacher reporting may show how many players encountered each major learning concept during the game.</t>
  </si>
  <si>
    <t>Cards, Round History</t>
  </si>
  <si>
    <t>DEV-299</t>
  </si>
  <si>
    <t>Deduction Learning</t>
  </si>
  <si>
    <t>Track whether players experienced Standard versus Itemized deduction outcomes so the teacher can discuss why different simulated circumstances produced different results.</t>
  </si>
  <si>
    <t>Deduction Cards, Life Ledger</t>
  </si>
  <si>
    <t>DEV-300</t>
  </si>
  <si>
    <t>Prepayment Learning</t>
  </si>
  <si>
    <t>Track Refund, Amount Due, and On-Target outcomes to support instruction about tax withholding/prepayment without treating refunds as success scores.</t>
  </si>
  <si>
    <t>Tax Prepayment, Life Ledger</t>
  </si>
  <si>
    <t>DEV-301</t>
  </si>
  <si>
    <t>Life Event Learning</t>
  </si>
  <si>
    <t>Track major Life Events encountered across the classroom so the teacher can connect tax concepts to changes in simulated life circumstances.</t>
  </si>
  <si>
    <t>DEV-302</t>
  </si>
  <si>
    <t>Business Income Learning</t>
  </si>
  <si>
    <t>Track whether players encountered Business/Self-Employment income so the teacher knows when deeper instruction about business taxation may be relevant.</t>
  </si>
  <si>
    <t>Business Income Cards, Entrepreneur, Side Hustler</t>
  </si>
  <si>
    <t>DEV-303</t>
  </si>
  <si>
    <t>Investment Learning</t>
  </si>
  <si>
    <t>Track whether players acquired investments and experienced recurring investment income or retirement investment value.</t>
  </si>
  <si>
    <t>DEV-304</t>
  </si>
  <si>
    <t>Audit Learning</t>
  </si>
  <si>
    <t>Track how many players experienced an Audit and the general type of outcome, including no-change outcomes, to reinforce that an Audit does not automatically mean wrongdoing.</t>
  </si>
  <si>
    <t>Audit Trigger, Audit Results</t>
  </si>
  <si>
    <t>DEV-305</t>
  </si>
  <si>
    <t>Retirement Learning</t>
  </si>
  <si>
    <t>Track players who reached retirement and the types of retirement income/resources encountered.</t>
  </si>
  <si>
    <t>DEV-306</t>
  </si>
  <si>
    <t>Financial Progression</t>
  </si>
  <si>
    <t>Teacher reporting may show aggregate simulated Cash/Resources progression across rounds to support discussion about income, taxes, expenses, saving, and wealth accumulation.</t>
  </si>
  <si>
    <t>Life Ledger, Cash/Resources</t>
  </si>
  <si>
    <t>DEV-307</t>
  </si>
  <si>
    <t>Aggregate Reporting</t>
  </si>
  <si>
    <t>Prefer classroom-level counts, percentages, averages, and trends when presenting learning analytics rather than emphasizing comparisons between individual students.</t>
  </si>
  <si>
    <t>DEV-308</t>
  </si>
  <si>
    <t>Player Review</t>
  </si>
  <si>
    <t>Teacher may access an individual player's simulated Life Ledger when needed for instruction, troubleshooting, or reflection, while clearly identifying the information as game data.</t>
  </si>
  <si>
    <t>DEV-309</t>
  </si>
  <si>
    <t>No Financial Ranking</t>
  </si>
  <si>
    <t>Do not automatically rank students by income, refund size, Ending Cash/Resources, tax paid, or simulated wealth. These values represent different simulated life circumstances rather than academic performance.</t>
  </si>
  <si>
    <t>DEV-310</t>
  </si>
  <si>
    <t>Learning vs. Wealth</t>
  </si>
  <si>
    <t>Keep learning progress separate from simulated financial outcomes. A player ending with more Cash/Resources should not automatically receive a higher educational score.</t>
  </si>
  <si>
    <t>Teacher Dashboard, Results</t>
  </si>
  <si>
    <t>DEV-311</t>
  </si>
  <si>
    <t>Completion Data</t>
  </si>
  <si>
    <t>Track round completion and overall game completion so teachers can identify students who may need help finishing the activity.</t>
  </si>
  <si>
    <t>Player Status, Round History</t>
  </si>
  <si>
    <t>DEV-312</t>
  </si>
  <si>
    <t>Reflection</t>
  </si>
  <si>
    <t>Allow future teacher activities or reflection prompts to use the player's Life Ledger and Tax Life Story as discussion material.</t>
  </si>
  <si>
    <t>Life Ledger, My Tax Life Story</t>
  </si>
  <si>
    <t>DEV-313</t>
  </si>
  <si>
    <t>Classroom Summary</t>
  </si>
  <si>
    <t>At game completion, provide a classroom summary of major concepts encountered, Pathways represented, Life Events experienced, tax outcomes, and financial-life patterns.</t>
  </si>
  <si>
    <t>DEV-314</t>
  </si>
  <si>
    <t>Teacher Export</t>
  </si>
  <si>
    <t>Allow future export of classroom learning data for teacher review or assessment while excluding unnecessary sensitive or identifying information.</t>
  </si>
  <si>
    <t>Teacher Dashboard, Reports</t>
  </si>
  <si>
    <t>DEV-315</t>
  </si>
  <si>
    <t>Simulated Data Label</t>
  </si>
  <si>
    <t>Clearly label financial and tax values shown in teacher reporting as simulated game data and not students' actual income, wealth, taxes, or financial circumstances.</t>
  </si>
  <si>
    <t>DEV-316</t>
  </si>
  <si>
    <t>Data Minimization</t>
  </si>
  <si>
    <t>Collect only the student/session information needed to operate the game and support learning analytics. Avoid collecting actual income, SSNs, tax documents, bank information, addresses, or other unnecessary financial/personal data.</t>
  </si>
  <si>
    <t>DEV-317</t>
  </si>
  <si>
    <t>Display Names</t>
  </si>
  <si>
    <t>Treat display names as classroom identifiers rather than verified identities. The initial beta does not require a full student account/profile system.</t>
  </si>
  <si>
    <t>Student Login</t>
  </si>
  <si>
    <t>DEV-318</t>
  </si>
  <si>
    <t>Session Separation</t>
  </si>
  <si>
    <t>Data from one classroom Game Session should remain logically separate from other sessions. Teachers should only access sessions available through their authorized teacher account/session controls.</t>
  </si>
  <si>
    <t>DEV-319</t>
  </si>
  <si>
    <t>Tax Year Reporting</t>
  </si>
  <si>
    <t>Teacher reports should identify the Tax Year used by the Game Session so educational discussions can distinguish that year's rules from other tax years.</t>
  </si>
  <si>
    <t>Tax Rules, Game Session</t>
  </si>
  <si>
    <t>DEV-320</t>
  </si>
  <si>
    <t>Beta Analytics</t>
  </si>
  <si>
    <t>During beta testing, collect enough gameplay data to identify confusing cards, frequent redraws, incomplete rounds, unusual calculation outcomes, and areas where students need additional explanation.</t>
  </si>
  <si>
    <t>Beta, Round History, Card History</t>
  </si>
  <si>
    <t>DEV-321</t>
  </si>
  <si>
    <t>Maintain configurable gameplay values in a separate Game Rules dataset. These values represent simulation design choices rather than tax law.</t>
  </si>
  <si>
    <t>DEV-322</t>
  </si>
  <si>
    <t>Game Length</t>
  </si>
  <si>
    <t>Initial game length is 5 rounds. Store the number of rounds as a Game Rule rather than hard-coding it throughout the application.</t>
  </si>
  <si>
    <t>Game Rules, Round Engine</t>
  </si>
  <si>
    <t>DEV-323</t>
  </si>
  <si>
    <t>Life Timeline</t>
  </si>
  <si>
    <t>Each round represents a broad simulated period of approximately 5–10 years rather than a literal single tax year of the player's life.</t>
  </si>
  <si>
    <t>Rounds, Life Ledger</t>
  </si>
  <si>
    <t>DEV-324</t>
  </si>
  <si>
    <t>Tax Calculation Period</t>
  </si>
  <si>
    <t>Even though a round represents multiple simulated life years, each round performs one representative tax calculation using the Game Session's selected Tax Year rules.</t>
  </si>
  <si>
    <t>Tax Rules, Round Engine</t>
  </si>
  <si>
    <t>DEV-325</t>
  </si>
  <si>
    <t>Regular-life rounds follow Income → Life Event → Deduction → Tax Prepayment → Wildcard → Audit → Results. Store/define this sequence centrally so UI navigation and calculation order remain consistent.</t>
  </si>
  <si>
    <t>Round Engine, All Cards</t>
  </si>
  <si>
    <t>DEV-326</t>
  </si>
  <si>
    <t>Physical Draws</t>
  </si>
  <si>
    <t>Players physically draw cards and then identify/select those cards in the app. The digital companion does not randomly replace the physical draw during standard gameplay.</t>
  </si>
  <si>
    <t>Cards, App UI</t>
  </si>
  <si>
    <t>DEV-327</t>
  </si>
  <si>
    <t>Eligibility Validation</t>
  </si>
  <si>
    <t>After a physical card is selected, the app validates whether it is applicable to the player's current state. If the card is not applicable, instruct the player to redraw according to the applicable game rule.</t>
  </si>
  <si>
    <t>Life Events, Deductions, Audits</t>
  </si>
  <si>
    <t>DEV-328</t>
  </si>
  <si>
    <t>Round Completion</t>
  </si>
  <si>
    <t>A round is complete only after all applicable stages have been processed and Results have been finalized.</t>
  </si>
  <si>
    <t>Round Engine, Results</t>
  </si>
  <si>
    <t>DEV-329</t>
  </si>
  <si>
    <t>Stage Progression</t>
  </si>
  <si>
    <t>A player normally progresses forward through the round sequence. Completed stages should not be replayed unless an explicit correction/reset function is used.</t>
  </si>
  <si>
    <t>Round Engine</t>
  </si>
  <si>
    <t>DEV-330</t>
  </si>
  <si>
    <t>Recalculation</t>
  </si>
  <si>
    <t>Wildcards, Audits, and other later-stage effects may cause the app to recalculate the current round without requiring the player to replay earlier stages.</t>
  </si>
  <si>
    <t>Wildcards, Audits, Tax Engine</t>
  </si>
  <si>
    <t>DEV-331</t>
  </si>
  <si>
    <t>Rule Configuration</t>
  </si>
  <si>
    <t>Game Rules should be identified by stable Rule IDs so application code references a rule by ID rather than spreadsheet row number or display wording.</t>
  </si>
  <si>
    <t>DEV-332</t>
  </si>
  <si>
    <t>Rule Values</t>
  </si>
  <si>
    <t>Game Rules should support numeric, percentage, boolean, text, and ordered-list values as needed by the simulation.</t>
  </si>
  <si>
    <t>DEV-333</t>
  </si>
  <si>
    <t>Rule Versioning</t>
  </si>
  <si>
    <t>A Game Session should use a defined Game Rules version so later balancing changes do not alter completed games.</t>
  </si>
  <si>
    <t>DEV-334</t>
  </si>
  <si>
    <t>Beta Balancing</t>
  </si>
  <si>
    <t>Game Rules that are primarily balancing choices should be adjustable during beta testing without requiring changes to physical cards or core calculation code.</t>
  </si>
  <si>
    <t>Beta Testing, Game Rules</t>
  </si>
  <si>
    <t>DEV-335</t>
  </si>
  <si>
    <t>Use the approved progressive Living Cost formula to simulate ordinary living expenses during applicable rounds. Living Costs affect Cash/Resources only and never reduce taxable income.</t>
  </si>
  <si>
    <t>DEV-336</t>
  </si>
  <si>
    <t>Living Cost Band 1</t>
  </si>
  <si>
    <t>For applicable income from $0 through $30,000, simulated Living Costs equal 85% of that portion.</t>
  </si>
  <si>
    <t>DEV-337</t>
  </si>
  <si>
    <t>Living Cost Band 2</t>
  </si>
  <si>
    <t>For the portion from $30,000 through $50,000, simulated Living Costs equal 55% of that portion.</t>
  </si>
  <si>
    <t>DEV-338</t>
  </si>
  <si>
    <t>Living Cost Band 3</t>
  </si>
  <si>
    <t>For the portion from $50,000 through $75,000, simulated Living Costs equal 45% of that portion.</t>
  </si>
  <si>
    <t>DEV-339</t>
  </si>
  <si>
    <t>Living Cost Band 4</t>
  </si>
  <si>
    <t>For the portion from $75,000 through $100,000, simulated Living Costs equal 35% of that portion.</t>
  </si>
  <si>
    <t>DEV-340</t>
  </si>
  <si>
    <t>Living Cost Band 5</t>
  </si>
  <si>
    <t>For the portion above $100,000, simulated Living Costs equal 25% of that portion.</t>
  </si>
  <si>
    <t>DEV-341</t>
  </si>
  <si>
    <t>Living Cost Calculation</t>
  </si>
  <si>
    <t>Calculate Living Costs progressively by income band rather than applying one percentage to the player's entire income.</t>
  </si>
  <si>
    <t>Living Cost Engine</t>
  </si>
  <si>
    <t>DEV-342</t>
  </si>
  <si>
    <t>Living Cost Configuration</t>
  </si>
  <si>
    <t>Store Living Cost thresholds and percentages in Game Rules so balancing changes do not require rewriting the calculation engine.</t>
  </si>
  <si>
    <t>DEV-343</t>
  </si>
  <si>
    <t>Household Adjustment</t>
  </si>
  <si>
    <t>Initial gameplay uses the same base Living Cost formula regardless of filing status or number of dependents. Household-specific adjustments may be added later if playtesting shows they improve the simulation.</t>
  </si>
  <si>
    <t>Life Events, Game Rules</t>
  </si>
  <si>
    <t>DEV-344</t>
  </si>
  <si>
    <t>Cash/Resources may fall below zero. Do not automatically floor the balance at $0.</t>
  </si>
  <si>
    <t>DEV-345</t>
  </si>
  <si>
    <t>Resource Carryforward</t>
  </si>
  <si>
    <t>Ending Cash/Resources from one round becomes Beginning Cash/Resources for the next round.</t>
  </si>
  <si>
    <t>DEV-346</t>
  </si>
  <si>
    <t>Wealth vs. Score</t>
  </si>
  <si>
    <t>Cash/Resources and investment assets represent simulated financial position and are not game points or an automatic measure of player success.</t>
  </si>
  <si>
    <t>Results, Teacher Dashboard</t>
  </si>
  <si>
    <t>DEV-347</t>
  </si>
  <si>
    <t>Effect Timing</t>
  </si>
  <si>
    <t>Define effect timing centrally so Card descriptions do not determine application behavior through text parsing.</t>
  </si>
  <si>
    <t>Game Rules, Card Effects</t>
  </si>
  <si>
    <t>DEV-348</t>
  </si>
  <si>
    <t>One-Round Effect</t>
  </si>
  <si>
    <r>
      <t xml:space="preserve">An effect with duration </t>
    </r>
    <r>
      <rPr>
        <sz val="10"/>
        <color theme="1"/>
        <rFont val="Arial Unicode MS"/>
        <family val="2"/>
      </rPr>
      <t>1 Round</t>
    </r>
    <r>
      <rPr>
        <sz val="12"/>
        <color theme="1"/>
        <rFont val="Calibri"/>
        <family val="2"/>
      </rPr>
      <t xml:space="preserve"> applies during the round in which it is received and expires after that round's Life Ledger snapshot is finalized.</t>
    </r>
  </si>
  <si>
    <t>Cards, Active Effects</t>
  </si>
  <si>
    <t>DEV-349</t>
  </si>
  <si>
    <t>Two-Round Effect</t>
  </si>
  <si>
    <r>
      <t xml:space="preserve">An effect with duration </t>
    </r>
    <r>
      <rPr>
        <sz val="10"/>
        <color theme="1"/>
        <rFont val="Arial Unicode MS"/>
        <family val="2"/>
      </rPr>
      <t>2 Rounds</t>
    </r>
    <r>
      <rPr>
        <sz val="12"/>
        <color theme="1"/>
        <rFont val="Calibri"/>
        <family val="2"/>
      </rPr>
      <t xml:space="preserve"> applies during the round received and the immediately following round, then expires after the second round is finalized.</t>
    </r>
  </si>
  <si>
    <t>Life Events, Active Effects</t>
  </si>
  <si>
    <t>DEV-350</t>
  </si>
  <si>
    <t>Persistent Effect</t>
  </si>
  <si>
    <r>
      <t xml:space="preserve">A </t>
    </r>
    <r>
      <rPr>
        <sz val="10"/>
        <color theme="1"/>
        <rFont val="Arial Unicode MS"/>
        <family val="2"/>
      </rPr>
      <t>Persistent</t>
    </r>
    <r>
      <rPr>
        <sz val="12"/>
        <color theme="1"/>
        <rFont val="Calibri"/>
        <family val="2"/>
      </rPr>
      <t xml:space="preserve"> effect remains active until another defined game event removes or changes it.</t>
    </r>
  </si>
  <si>
    <t>Marriage, Investments, Retirement</t>
  </si>
  <si>
    <t>DEV-351</t>
  </si>
  <si>
    <t>Immediate Effects</t>
  </si>
  <si>
    <t>Immediate effects modify the current round when processed and do not require an Active Effect record unless they also create a future effect.</t>
  </si>
  <si>
    <t>Wildcards, Audits</t>
  </si>
  <si>
    <t>DEV-352</t>
  </si>
  <si>
    <t>Next-Round Activation</t>
  </si>
  <si>
    <t>Effects defined to begin the following round, such as recurring income from newly acquired investments, should be recorded when acquired but should not affect the current round calculation.</t>
  </si>
  <si>
    <t>Investment Wildcards</t>
  </si>
  <si>
    <t>DEV-353</t>
  </si>
  <si>
    <t>Expiration Timing</t>
  </si>
  <si>
    <t>Expire temporary effects only after the final active round has been calculated and saved to the Life Ledger.</t>
  </si>
  <si>
    <t>Active Effects, Life Ledger</t>
  </si>
  <si>
    <t>DEV-354</t>
  </si>
  <si>
    <t>Every temporary or persistent effect should retain the Card ID or Pathway ID that created it.</t>
  </si>
  <si>
    <t>DEV-355</t>
  </si>
  <si>
    <t>Stacking</t>
  </si>
  <si>
    <t>Multiple effects may coexist when game rules permit. Investment effects stack; statuses that represent one state, such as filing status, should follow their specific replacement rules instead.</t>
  </si>
  <si>
    <t>Investments, Life Events</t>
  </si>
  <si>
    <t>DEV-356</t>
  </si>
  <si>
    <t>Effect Removal</t>
  </si>
  <si>
    <t>When an event removes a persistent status or temporary effect, deactivate the appropriate effect rather than deleting its historical record.</t>
  </si>
  <si>
    <t>LIFE-006, LIFE-009, Active Effects</t>
  </si>
  <si>
    <t>DEV-357</t>
  </si>
  <si>
    <t>Standard players enter retirement in Round 5.</t>
  </si>
  <si>
    <t>Retirement Deck</t>
  </si>
  <si>
    <t>DEV-358</t>
  </si>
  <si>
    <t>Early Retiree enters retirement in Round 4 instead of Round 5.</t>
  </si>
  <si>
    <t>DEV-359</t>
  </si>
  <si>
    <t>Once retirement begins, the Retirement deck replaces the normal primary Income draw for that player.</t>
  </si>
  <si>
    <t>Retirement Cards, Income Cards</t>
  </si>
  <si>
    <t>DEV-360</t>
  </si>
  <si>
    <t>Retirement Persistence</t>
  </si>
  <si>
    <t>Once a player enters retirement, retirement status remains active for the rest of the game.</t>
  </si>
  <si>
    <t>DEV-361</t>
  </si>
  <si>
    <t>Retirement does not erase filing status, dependents, homeowner status, Cash/Resources, investments, or other still-active effects.</t>
  </si>
  <si>
    <t>Player State, Retirement</t>
  </si>
  <si>
    <t>DEV-362</t>
  </si>
  <si>
    <t>Investment Continuation</t>
  </si>
  <si>
    <t>Existing investments continue according to their retirement rules after the player enters retirement.</t>
  </si>
  <si>
    <t>Investment Wildcards, Retirement</t>
  </si>
  <si>
    <t>DEV-363</t>
  </si>
  <si>
    <t>Retirement Tax Treatment</t>
  </si>
  <si>
    <t>Retirement, Social Security, and investment-related tax treatment is handled automatically by the tax engine using the applicable Tax Rules and game simplifications.</t>
  </si>
  <si>
    <t>Retirement, Tax Rules</t>
  </si>
  <si>
    <t>DEV-364</t>
  </si>
  <si>
    <t>Final Round</t>
  </si>
  <si>
    <t>Round 5 is the final round for the initial game configuration, including players who entered retirement earlier.</t>
  </si>
  <si>
    <t>DEV-365</t>
  </si>
  <si>
    <t>Game Completion</t>
  </si>
  <si>
    <t>After the final round Results and Life Ledger entry are finalized, mark the player's game status as Completed.</t>
  </si>
  <si>
    <t>Player Status, Life Ledger</t>
  </si>
  <si>
    <t>DEV-366</t>
  </si>
  <si>
    <t>Final Story</t>
  </si>
  <si>
    <r>
      <t xml:space="preserve">Generate </t>
    </r>
    <r>
      <rPr>
        <sz val="10"/>
        <color theme="1"/>
        <rFont val="Arial Unicode MS"/>
        <family val="2"/>
      </rPr>
      <t>My Tax Life Story</t>
    </r>
    <r>
      <rPr>
        <sz val="12"/>
        <color theme="1"/>
        <rFont val="Calibri"/>
        <family val="2"/>
      </rPr>
      <t xml:space="preserve"> only after all required rounds have been finalized.</t>
    </r>
  </si>
  <si>
    <t>DEV-367</t>
  </si>
  <si>
    <t>Final Resources</t>
  </si>
  <si>
    <t>Final Cash/Resources and active investment assets should be displayed as part of the player's simulated ending financial position, not as a winning score.</t>
  </si>
  <si>
    <t>DEV-368</t>
  </si>
  <si>
    <t>Final Reflection</t>
  </si>
  <si>
    <t>End-of-game results should emphasize how income, life events, tax rules, prepayment, deductions, investments, and retirement interacted over the simulated lifetime.</t>
  </si>
  <si>
    <t>DEV-369</t>
  </si>
  <si>
    <t>Validation</t>
  </si>
  <si>
    <t>Validate a selected card against the player's current state before applying its effect.</t>
  </si>
  <si>
    <t>All Cards, Player State</t>
  </si>
  <si>
    <t>DEV-370</t>
  </si>
  <si>
    <t>Rule Priority</t>
  </si>
  <si>
    <t>When rules interact, apply specific Card/Pathway rules over general Game Rules when the specific rule explicitly creates an exception. Tax calculations still use the applicable Tax Rules.</t>
  </si>
  <si>
    <t>Cards, Pathways, Game Rules, Tax Rules</t>
  </si>
  <si>
    <t>DEV-371</t>
  </si>
  <si>
    <t>Invalid Card</t>
  </si>
  <si>
    <t>If a physical card cannot legally apply to the player's current state, do not apply it and instruct the player to redraw.</t>
  </si>
  <si>
    <t>Physical Cards</t>
  </si>
  <si>
    <t>DEV-372</t>
  </si>
  <si>
    <t>Invalid Card History</t>
  </si>
  <si>
    <t>An invalid/redrawn card may be logged for beta analytics but must not change Player State, tax calculations, Cash/Resources, or the Life Ledger.</t>
  </si>
  <si>
    <t>Card History, Beta Analytics</t>
  </si>
  <si>
    <t>DEV-373</t>
  </si>
  <si>
    <t>Validation Timing</t>
  </si>
  <si>
    <t>Perform eligibility validation before changing Player State or calculating the selected card's effect.</t>
  </si>
  <si>
    <t>Card Engine</t>
  </si>
  <si>
    <t>DEV-374</t>
  </si>
  <si>
    <t>Duplicate Processing</t>
  </si>
  <si>
    <t>The same card-selection action must not be applied twice because of double-clicks, refreshes, retries, or reconnects.</t>
  </si>
  <si>
    <t>Card Engine, Round History</t>
  </si>
  <si>
    <t>DEV-375</t>
  </si>
  <si>
    <t>State-Based Rules</t>
  </si>
  <si>
    <t>Card eligibility should be determined from structured Player State and Active Effects rather than by interpreting player-facing Card Description text.</t>
  </si>
  <si>
    <t>DEV-376</t>
  </si>
  <si>
    <t>Calculation Priority</t>
  </si>
  <si>
    <t>When a valid card changes income, filing status, dependents, deductions, or another tax-relevant value, recalculate affected current-round results before finalization.</t>
  </si>
  <si>
    <t>DEV-377</t>
  </si>
  <si>
    <t>Validation or correction of the current round must not modify previously finalized Life Ledger rounds.</t>
  </si>
  <si>
    <t>DEV-378</t>
  </si>
  <si>
    <t>Marriage Validation</t>
  </si>
  <si>
    <r>
      <t>Got Married</t>
    </r>
    <r>
      <rPr>
        <sz val="12"/>
        <color theme="1"/>
        <rFont val="Calibri"/>
        <family val="2"/>
      </rPr>
      <t xml:space="preserve"> and </t>
    </r>
    <r>
      <rPr>
        <sz val="10"/>
        <color theme="1"/>
        <rFont val="Arial Unicode MS"/>
        <family val="2"/>
      </rPr>
      <t>Spouse Joined Household</t>
    </r>
    <r>
      <rPr>
        <sz val="12"/>
        <color theme="1"/>
        <rFont val="Calibri"/>
        <family val="2"/>
      </rPr>
      <t xml:space="preserve"> are inapplicable when the player is already married. In physical play, instruct the player to redraw.</t>
    </r>
  </si>
  <si>
    <t>DEV-379</t>
  </si>
  <si>
    <t>Divorce Validation</t>
  </si>
  <si>
    <r>
      <t>Got Divorced</t>
    </r>
    <r>
      <rPr>
        <sz val="12"/>
        <color theme="1"/>
        <rFont val="Calibri"/>
        <family val="2"/>
      </rPr>
      <t xml:space="preserve"> is inapplicable when the player is not currently married. In physical play, instruct the player to redraw.</t>
    </r>
  </si>
  <si>
    <t>DEV-380</t>
  </si>
  <si>
    <t>Marriage Replacement</t>
  </si>
  <si>
    <t>A valid marriage event changes filing status to the game's Married Filing Jointly status and replaces the previous filing status.</t>
  </si>
  <si>
    <t>DEV-381</t>
  </si>
  <si>
    <t>Divorce Replacement</t>
  </si>
  <si>
    <t>A valid divorce event changes filing status to the game's Single status. Existing dependents remain unless separately removed or expired.</t>
  </si>
  <si>
    <t>DEV-382</t>
  </si>
  <si>
    <r>
      <t>Dependent Left Household</t>
    </r>
    <r>
      <rPr>
        <sz val="12"/>
        <color theme="1"/>
        <rFont val="Calibri"/>
        <family val="2"/>
      </rPr>
      <t xml:space="preserve"> removes one eligible Life Event dependent. It cannot remove the Caregiver Pathway's permanent dependent.</t>
    </r>
  </si>
  <si>
    <t>DEV-383</t>
  </si>
  <si>
    <t>No Removable Dependent</t>
  </si>
  <si>
    <r>
      <t xml:space="preserve">If </t>
    </r>
    <r>
      <rPr>
        <sz val="10"/>
        <color theme="1"/>
        <rFont val="Arial Unicode MS"/>
        <family val="2"/>
      </rPr>
      <t>Dependent Left Household</t>
    </r>
    <r>
      <rPr>
        <sz val="12"/>
        <color theme="1"/>
        <rFont val="Calibri"/>
        <family val="2"/>
      </rPr>
      <t xml:space="preserve"> is drawn when no removable dependent exists, the card is inapplicable and the player redraws.</t>
    </r>
  </si>
  <si>
    <t>DEV-384</t>
  </si>
  <si>
    <t>Multiple eligible dependents may be active simultaneously. Track each separately so expiration/removal affects the correct dependent.</t>
  </si>
  <si>
    <t>DEV-385</t>
  </si>
  <si>
    <t>Caregiver Minimum</t>
  </si>
  <si>
    <t>Caregiver must maintain at least one permanent Pathway-dependent throughout the game, including retirement.</t>
  </si>
  <si>
    <t>DEV-386</t>
  </si>
  <si>
    <t>Bought Home Validation</t>
  </si>
  <si>
    <r>
      <t>Bought a Home</t>
    </r>
    <r>
      <rPr>
        <sz val="12"/>
        <color theme="1"/>
        <rFont val="Calibri"/>
        <family val="2"/>
      </rPr>
      <t xml:space="preserve"> is inapplicable while the player already has active Homeowner status.</t>
    </r>
  </si>
  <si>
    <t>LIFE-005, PATH-004</t>
  </si>
  <si>
    <t>DEV-387</t>
  </si>
  <si>
    <t>Sold Home Validation</t>
  </si>
  <si>
    <r>
      <t>Sold Home and Began Renting</t>
    </r>
    <r>
      <rPr>
        <sz val="12"/>
        <color theme="1"/>
        <rFont val="Calibri"/>
        <family val="2"/>
      </rPr>
      <t xml:space="preserve"> is inapplicable if the player does not currently have Homeowner status.</t>
    </r>
  </si>
  <si>
    <t>DEV-388</t>
  </si>
  <si>
    <t>Home Builder Sale</t>
  </si>
  <si>
    <r>
      <t xml:space="preserve">Home Builder may lose Homeowner status through </t>
    </r>
    <r>
      <rPr>
        <sz val="10"/>
        <color theme="1"/>
        <rFont val="Arial Unicode MS"/>
        <family val="2"/>
      </rPr>
      <t>Sold Home and Began Renting</t>
    </r>
    <r>
      <rPr>
        <sz val="12"/>
        <color theme="1"/>
        <rFont val="Calibri"/>
        <family val="2"/>
      </rPr>
      <t>; the Pathway does not automatically restore Homeowner status afterward.</t>
    </r>
  </si>
  <si>
    <t>PATH-004, LIFE-009</t>
  </si>
  <si>
    <t>DEV-389</t>
  </si>
  <si>
    <t>Homeowner Deduction Validation</t>
  </si>
  <si>
    <t>Homeowner-only deduction scenarios are inapplicable unless Homeowner status is active.</t>
  </si>
  <si>
    <t>DED-003, DED-007</t>
  </si>
  <si>
    <t>DEV-390</t>
  </si>
  <si>
    <t>Compare the current primary income amount with the newly drawn Income card. Keep the higher amount as primary income while preserving its actual income classification.</t>
  </si>
  <si>
    <t>PATH-001, Income Cards</t>
  </si>
  <si>
    <t>DEV-391</t>
  </si>
  <si>
    <t>Corporate Climber Tie</t>
  </si>
  <si>
    <t>If Corporate Climber's new Income card equals the current primary income amount, retain the existing primary income to avoid an unnecessary state change.</t>
  </si>
  <si>
    <t>DEV-392</t>
  </si>
  <si>
    <t>Entrepreneur Extra Draw</t>
  </si>
  <si>
    <t>Entrepreneur receives no more than one Pathway-generated additional Income draw per regular-life round and keeps that additional card only when it is Business Income.</t>
  </si>
  <si>
    <t>DEV-393</t>
  </si>
  <si>
    <t>Side Hustler Income</t>
  </si>
  <si>
    <t>Side Hustler's two regular Income cards both count for the round regardless of whether they are W-2, Business, or a combination.</t>
  </si>
  <si>
    <t>DEV-394</t>
  </si>
  <si>
    <t>Do not merge income sources before rules requiring income classification are processed. Preserve W-2, Business, Investment, Retirement, and other applicable classifications.</t>
  </si>
  <si>
    <t>Income, Tax Engine</t>
  </si>
  <si>
    <t>DEV-395</t>
  </si>
  <si>
    <t>Wildcard Income</t>
  </si>
  <si>
    <t>Bonus and Freelance Wildcards add to existing round income rather than replacing the player's primary income.</t>
  </si>
  <si>
    <t>DEV-396</t>
  </si>
  <si>
    <t>Business Expense Eligibility</t>
  </si>
  <si>
    <t>A business-expense treatment may reduce Business Income only when applicable Business Income exists. Otherwise, an applicable personal expense affects Cash/Resources rather than taxable Business Income.</t>
  </si>
  <si>
    <t>DEV-397</t>
  </si>
  <si>
    <t>Investment Stacking</t>
  </si>
  <si>
    <t>Players may own multiple Investment Wildcards simultaneously. Each remains separately identifiable and contributes according to its own recurring-income and retirement rules.</t>
  </si>
  <si>
    <t>DEV-398</t>
  </si>
  <si>
    <t>Investment Acquisition Round</t>
  </si>
  <si>
    <t>A newly acquired investment does not generate its recurring investment income in the same round it is acquired.</t>
  </si>
  <si>
    <t>DEV-399</t>
  </si>
  <si>
    <t>Investor Starting Investment</t>
  </si>
  <si>
    <t>Investor's starting investment exists before Round 1 begins; therefore its recurring income may apply beginning in Round 1.</t>
  </si>
  <si>
    <t>DEV-400</t>
  </si>
  <si>
    <t>Investment assets are not removed by ordinary Life Events, retirement, or a negative Cash/Resources balance unless a future rule explicitly provides for removal.</t>
  </si>
  <si>
    <t>DEV-401</t>
  </si>
  <si>
    <t>Always compare the allowable Itemized Deduction result with the applicable Standard Deduction and use the larger amount.</t>
  </si>
  <si>
    <t>DEV-402</t>
  </si>
  <si>
    <t>Deduction Labels</t>
  </si>
  <si>
    <r>
      <t>Above X</t>
    </r>
    <r>
      <rPr>
        <sz val="12"/>
        <color theme="1"/>
        <rFont val="Calibri"/>
        <family val="2"/>
      </rPr>
      <t xml:space="preserve"> and </t>
    </r>
    <r>
      <rPr>
        <sz val="10"/>
        <color theme="1"/>
        <rFont val="Arial Unicode MS"/>
        <family val="2"/>
      </rPr>
      <t>Below X</t>
    </r>
    <r>
      <rPr>
        <sz val="12"/>
        <color theme="1"/>
        <rFont val="Calibri"/>
        <family val="2"/>
      </rPr>
      <t xml:space="preserve"> are scenario-design labels only and must not override the actual deduction comparison performed by the engine.</t>
    </r>
  </si>
  <si>
    <t>DEV-403</t>
  </si>
  <si>
    <t>Homeowner Deduction</t>
  </si>
  <si>
    <t>If a homeowner-only Deduction card is physically drawn by a non-homeowner, it is inapplicable and the player redraws.</t>
  </si>
  <si>
    <t>DEV-404</t>
  </si>
  <si>
    <t>Audit Deduction Adjustment</t>
  </si>
  <si>
    <t>If an Audit reduces an Itemized Deduction, rerun the comparison against the Standard Deduction after the adjustment.</t>
  </si>
  <si>
    <t>DEV-405</t>
  </si>
  <si>
    <t>Standard Deduction Audit</t>
  </si>
  <si>
    <r>
      <t>Standard Deduction Now Wins</t>
    </r>
    <r>
      <rPr>
        <sz val="12"/>
        <color theme="1"/>
        <rFont val="Calibri"/>
        <family val="2"/>
      </rPr>
      <t xml:space="preserve"> applies only when the player originally used Itemized Deductions and the defined Audit adjustment causes the Standard Deduction to become larger. Otherwise the Audit Result is inapplicable.</t>
    </r>
  </si>
  <si>
    <t>DEV-406</t>
  </si>
  <si>
    <t>Business Audit Validation</t>
  </si>
  <si>
    <r>
      <t>Business Expense Questioned</t>
    </r>
    <r>
      <rPr>
        <sz val="12"/>
        <color theme="1"/>
        <rFont val="Calibri"/>
        <family val="2"/>
      </rPr>
      <t xml:space="preserve"> applies only when applicable Business Income exists in the current round. Otherwise select/redraw another eligible Audit Result.</t>
    </r>
  </si>
  <si>
    <t>DEV-407</t>
  </si>
  <si>
    <r>
      <t>Everything Checks Out</t>
    </r>
    <r>
      <rPr>
        <sz val="12"/>
        <color theme="1"/>
        <rFont val="Calibri"/>
        <family val="2"/>
      </rPr>
      <t xml:space="preserve"> and </t>
    </r>
    <r>
      <rPr>
        <sz val="10"/>
        <color theme="1"/>
        <rFont val="Arial Unicode MS"/>
        <family val="2"/>
      </rPr>
      <t>Records to the Rescue</t>
    </r>
    <r>
      <rPr>
        <sz val="12"/>
        <color theme="1"/>
        <rFont val="Calibri"/>
        <family val="2"/>
      </rPr>
      <t xml:space="preserve"> produce no financial adjustment but remain valid completed Audit outcomes.</t>
    </r>
  </si>
  <si>
    <t>AUD-001, AUD-002</t>
  </si>
  <si>
    <t>DEV-408</t>
  </si>
  <si>
    <t>Audit Income Adjustment</t>
  </si>
  <si>
    <t>Income added by an Audit is included in the recalculated current-round tax result but does not become a new persistent primary-income source for future rounds.</t>
  </si>
  <si>
    <t>DEV-409</t>
  </si>
  <si>
    <t>Audit Penalty</t>
  </si>
  <si>
    <t>A penalty is applied only when specifically triggered by the applicable Audit Result/rule. Owing tax by itself does not create an Audit penalty.</t>
  </si>
  <si>
    <t>DEV-410</t>
  </si>
  <si>
    <t>Prepayment Range</t>
  </si>
  <si>
    <t>Tax Prepayment rates are applied only to the current round's calculated tax according to the selected Prepayment card.</t>
  </si>
  <si>
    <t>PRE-001 through PRE-010</t>
  </si>
  <si>
    <t>DEV-411</t>
  </si>
  <si>
    <t>Zero Prepayment</t>
  </si>
  <si>
    <t>A 0% Prepayment card is valid. The resulting Amount Due is not automatically treated as a penalty.</t>
  </si>
  <si>
    <t>DEV-412</t>
  </si>
  <si>
    <t>Excess Prepayment</t>
  </si>
  <si>
    <t>Prepayment above Final Tax creates a Refund. It does not reduce Final Tax itself.</t>
  </si>
  <si>
    <t>DEV-413</t>
  </si>
  <si>
    <t>Prepayment below Final Tax creates an Amount Due. It does not increase Final Tax unless a separate penalty rule applies.</t>
  </si>
  <si>
    <t>DEV-414</t>
  </si>
  <si>
    <t>Do not subtract both Final Tax and Amount Due from Cash/Resources. Prepayments, refunds, and amounts due are settlement components of the same Final Tax liability and must reconcile to one total tax cost.</t>
  </si>
  <si>
    <t>Cash/Resources, Tax Results</t>
  </si>
  <si>
    <t>DEV-415</t>
  </si>
  <si>
    <t>Refund Cash Flow</t>
  </si>
  <si>
    <t>Refunds increase Cash/Resources at settlement because they return excess Tax Prepayment. They are not new taxable income.</t>
  </si>
  <si>
    <t>Refund, Cash/Resources</t>
  </si>
  <si>
    <t>DEV-416</t>
  </si>
  <si>
    <t>Negative Cash</t>
  </si>
  <si>
    <t>Allow Cash/Resources to remain negative across round boundaries. A negative balance does not stop gameplay.</t>
  </si>
  <si>
    <t>DEV-417</t>
  </si>
  <si>
    <t>Inheritance increases Cash/Resources according to the Wildcard but is not automatically added to ordinary taxable income.</t>
  </si>
  <si>
    <t>DEV-418</t>
  </si>
  <si>
    <t>Personal Expense</t>
  </si>
  <si>
    <t>A personal unexpected expense reduces Cash/Resources without automatically reducing taxable income.</t>
  </si>
  <si>
    <t>DEV-419</t>
  </si>
  <si>
    <t>When retirement begins, replace the normal primary Income draw with the Retirement deck while retaining other applicable income sources and persistent state.</t>
  </si>
  <si>
    <t>Retirement Cards</t>
  </si>
  <si>
    <t>DEV-420</t>
  </si>
  <si>
    <t>Early Retiree Round 4</t>
  </si>
  <si>
    <t>Early Retiree uses the Retirement deck beginning in Round 4 and remains retired in Round 5.</t>
  </si>
  <si>
    <t>DEV-421</t>
  </si>
  <si>
    <t>Regular Retirement Round 5</t>
  </si>
  <si>
    <t>Players without an earlier retirement rule use the Retirement deck beginning in Round 5.</t>
  </si>
  <si>
    <t>DEV-422</t>
  </si>
  <si>
    <t>Retirement Card Components</t>
  </si>
  <si>
    <t>Preserve Social Security, retirement, and investment components separately when needed for calculation even when the player-facing Retirement card displays a combined total.</t>
  </si>
  <si>
    <t>Retirement Cards, Tax Engine</t>
  </si>
  <si>
    <t>DEV-423</t>
  </si>
  <si>
    <t>Active Effects at Retirement</t>
  </si>
  <si>
    <t>Entering retirement does not prematurely expire active dependents, marriage status, homeowner status, investments, or other effects. Normal expiration/removal rules continue to apply.</t>
  </si>
  <si>
    <t>Retirement, Active Effects</t>
  </si>
  <si>
    <t>DEV-424</t>
  </si>
  <si>
    <t>Final-Round Effects</t>
  </si>
  <si>
    <t>Effects acquired during the final round apply to that round when applicable even if their normal duration would extend beyond the end of the game. No additional gameplay rounds are created solely to complete an effect duration.</t>
  </si>
  <si>
    <t>Round 5, Active Effects</t>
  </si>
  <si>
    <t>DEV-425</t>
  </si>
  <si>
    <t>Final-Round Investment</t>
  </si>
  <si>
    <t>An investment acquired in the final round may contribute its defined asset/retirement value to the ending financial position but does not create a future recurring-income round that does not exist.</t>
  </si>
  <si>
    <t>Investment Wildcards, Round 5</t>
  </si>
  <si>
    <t>DEV-426</t>
  </si>
  <si>
    <t>Finalization Validation</t>
  </si>
  <si>
    <t>Do not finalize a round until all required stages are complete and all applicable recalculations have finished successfully.</t>
  </si>
  <si>
    <t>DEV-427</t>
  </si>
  <si>
    <t>Failed Calculation</t>
  </si>
  <si>
    <t>If a required calculation cannot be completed because of missing or invalid configuration data, stop finalization and show a recoverable game error rather than inventing a value or silently using zero.</t>
  </si>
  <si>
    <t>Tax Rules, Game Rules, Engine</t>
  </si>
  <si>
    <t>DEV-428</t>
  </si>
  <si>
    <t>Final Game State</t>
  </si>
  <si>
    <t>After Round 5 is finalized, prevent additional standard gameplay rounds while retaining access to Results, Life Ledger, and My Tax Life Story.</t>
  </si>
  <si>
    <t>DEV-429</t>
  </si>
  <si>
    <t>Calculation code must use structured Card, Pathway, Tax Rule, Game Rule, and Player State fields as the source of truth. Player-facing descriptions are never parsed to determine game logic.</t>
  </si>
  <si>
    <t>DEV-430</t>
  </si>
  <si>
    <t>Deterministic Results</t>
  </si>
  <si>
    <t>Given the same finalized inputs, Tax Year, Game Rules version, and card history, the game engine should produce the same calculation result.</t>
  </si>
  <si>
    <t>DEV-431</t>
  </si>
  <si>
    <t>Validation Errors</t>
  </si>
  <si>
    <t>Distinguish expected gameplay ineligibility, such as needing to redraw, from actual application/configuration errors.</t>
  </si>
  <si>
    <t>Validation, UI</t>
  </si>
  <si>
    <t>DEV-432</t>
  </si>
  <si>
    <t>Missing Tax Rule</t>
  </si>
  <si>
    <t>If a required Tax Rule for the selected Tax Year is missing, do not substitute another year's value automatically. Block the affected calculation until corrected.</t>
  </si>
  <si>
    <t>DEV-433</t>
  </si>
  <si>
    <t>Missing Game Rule</t>
  </si>
  <si>
    <t>If a required Game Rule is missing, do not silently invent a default unless an explicit coded fallback has been approved in the game specification.</t>
  </si>
  <si>
    <t>DEV-434</t>
  </si>
  <si>
    <t>Money Precision</t>
  </si>
  <si>
    <t>Perform monetary calculations using a consistent rounding strategy and avoid floating-point drift in financial calculations.</t>
  </si>
  <si>
    <t>Tax Engine, Cash/Resources</t>
  </si>
  <si>
    <t>DEV-435</t>
  </si>
  <si>
    <t>Percentage Precision</t>
  </si>
  <si>
    <r>
      <t xml:space="preserve">Store percentage/rate values in a consistent machine-readable format and define whether values such as </t>
    </r>
    <r>
      <rPr>
        <sz val="10"/>
        <color theme="1"/>
        <rFont val="Arial Unicode MS"/>
        <family val="2"/>
      </rPr>
      <t>0.90</t>
    </r>
    <r>
      <rPr>
        <sz val="12"/>
        <color theme="1"/>
        <rFont val="Calibri"/>
        <family val="2"/>
      </rPr>
      <t xml:space="preserve"> represent 90% rather than relying on display strings.</t>
    </r>
  </si>
  <si>
    <t>Prepayment, Living Costs</t>
  </si>
  <si>
    <t>DEV-436</t>
  </si>
  <si>
    <t>Recalculation Safety</t>
  </si>
  <si>
    <t>Recalculating a draft round should rebuild the result from authoritative round inputs rather than repeatedly adding/subtracting effects from the previous calculated result.</t>
  </si>
  <si>
    <t>DEV-437</t>
  </si>
  <si>
    <t>Idempotency</t>
  </si>
  <si>
    <t>Applying the same recorded action more than once must not duplicate income, dependents, investments, Cash/Resources changes, or finalized Life Ledger records.</t>
  </si>
  <si>
    <t>Game Engine, Database</t>
  </si>
  <si>
    <t>DEV-438</t>
  </si>
  <si>
    <t>Tests</t>
  </si>
  <si>
    <t>Production implementation should include automated tests for Pathway exceptions, effect expiration, deductions, prepayments, Cash/Resources reconciliation, investments, audits, retirement transitions, and invalid-card handling.</t>
  </si>
  <si>
    <t>Production Code</t>
  </si>
  <si>
    <t>DEV-439</t>
  </si>
  <si>
    <t>Scenario Tests</t>
  </si>
  <si>
    <t>Maintain representative full-game scenarios that run from Round 1 through Round 5 to verify that individual rules work correctly when combined.</t>
  </si>
  <si>
    <t>Production Code, QA</t>
  </si>
  <si>
    <t>DEV-440</t>
  </si>
  <si>
    <t>Workbook Validation</t>
  </si>
  <si>
    <t>Before importing workbook data into production, validate required IDs, duplicate IDs, required fields, valid Effect Types, durations, references, and rule values. Invalid content should be reported rather than silently imported.</t>
  </si>
  <si>
    <t>Workbook, Data Import</t>
  </si>
  <si>
    <t>Player selects physical card</t>
  </si>
  <si>
    <t xml:space="preserve">        ↓</t>
  </si>
  <si>
    <t>Does Card ID exist and is it active?</t>
  </si>
  <si>
    <t>Is it valid for current stage?</t>
  </si>
  <si>
    <t>Is it eligible for current Player State?</t>
  </si>
  <si>
    <t>NO → Redraw / no effect</t>
  </si>
  <si>
    <t>YES</t>
  </si>
  <si>
    <t>Apply structured effect</t>
  </si>
  <si>
    <t>Update draft state</t>
  </si>
  <si>
    <t>Recalculate affected results</t>
  </si>
  <si>
    <t>Continue round</t>
  </si>
  <si>
    <t>Final validation</t>
  </si>
  <si>
    <t>Finalize Results + Life Ledger</t>
  </si>
  <si>
    <t>DEV-441</t>
  </si>
  <si>
    <t>Data Mapping</t>
  </si>
  <si>
    <t>Create an explicit mapping between workbook columns and application fields. Workbook display labels may contain spaces while application fields use consistent code-friendly names.</t>
  </si>
  <si>
    <t>Workbook, Application Data</t>
  </si>
  <si>
    <t>DEV-442</t>
  </si>
  <si>
    <t>Card Mapping</t>
  </si>
  <si>
    <r>
      <t xml:space="preserve">Map the Universal Cards dataset into a structured </t>
    </r>
    <r>
      <rPr>
        <sz val="10"/>
        <color theme="1"/>
        <rFont val="Arial Unicode MS"/>
        <family val="2"/>
      </rPr>
      <t>Card</t>
    </r>
    <r>
      <rPr>
        <sz val="12"/>
        <color theme="1"/>
        <rFont val="Calibri"/>
        <family val="2"/>
      </rPr>
      <t xml:space="preserve"> model while retaining the permanent Card ID as the primary reference.</t>
    </r>
  </si>
  <si>
    <t>Universal Cards</t>
  </si>
  <si>
    <t>DEV-443</t>
  </si>
  <si>
    <r>
      <t xml:space="preserve">Map </t>
    </r>
    <r>
      <rPr>
        <sz val="10"/>
        <color theme="1"/>
        <rFont val="Arial Unicode MS"/>
        <family val="2"/>
      </rPr>
      <t>Card ID</t>
    </r>
    <r>
      <rPr>
        <sz val="12"/>
        <color theme="1"/>
        <rFont val="Calibri"/>
        <family val="2"/>
      </rPr>
      <t xml:space="preserve"> → </t>
    </r>
    <r>
      <rPr>
        <sz val="10"/>
        <color theme="1"/>
        <rFont val="Arial Unicode MS"/>
        <family val="2"/>
      </rPr>
      <t>cardId</t>
    </r>
    <r>
      <rPr>
        <sz val="12"/>
        <color theme="1"/>
        <rFont val="Calibri"/>
        <family val="2"/>
      </rPr>
      <t>. Card IDs must remain unchanged during import and must be unique.</t>
    </r>
  </si>
  <si>
    <t>DEV-444</t>
  </si>
  <si>
    <t>Card Classification</t>
  </si>
  <si>
    <t>Map Card Type, Card Type No, Subcategory, and Card Color into structured classification/display fields.</t>
  </si>
  <si>
    <t>DEV-445</t>
  </si>
  <si>
    <t>Card Content</t>
  </si>
  <si>
    <t>Map Card Name, Card Description, Education Concept, Education Message, Result Message, and Graphic/Visual as player-facing content fields rather than calculation logic.</t>
  </si>
  <si>
    <t>DEV-446</t>
  </si>
  <si>
    <t>Card Effect Data</t>
  </si>
  <si>
    <t>Map Amount, Effect Type, Effect Value, and Effect Duration into structured effect fields used by the game engine.</t>
  </si>
  <si>
    <t>DEV-447</t>
  </si>
  <si>
    <t>Card Rule Data</t>
  </si>
  <si>
    <t>Map Tax Category, Tax Treatment/Rule, Audit Risk, Pathway Rule, Round Rule, and Player Choice Required as structured metadata supporting validation and processing.</t>
  </si>
  <si>
    <t>DEV-448</t>
  </si>
  <si>
    <t>Card Operational Data</t>
  </si>
  <si>
    <t>Map Physical Reminder, Developer Notes, and Active without using these fields as substitutes for structured calculation logic.</t>
  </si>
  <si>
    <t>DEV-449</t>
  </si>
  <si>
    <t>Pathway Mapping</t>
  </si>
  <si>
    <r>
      <t xml:space="preserve">Map the Pathways dataset into a structured </t>
    </r>
    <r>
      <rPr>
        <sz val="10"/>
        <color theme="1"/>
        <rFont val="Arial Unicode MS"/>
        <family val="2"/>
      </rPr>
      <t>Pathway</t>
    </r>
    <r>
      <rPr>
        <sz val="12"/>
        <color theme="1"/>
        <rFont val="Calibri"/>
        <family val="2"/>
      </rPr>
      <t xml:space="preserve"> model using Pathway ID as the permanent unique reference.</t>
    </r>
  </si>
  <si>
    <t>DEV-450</t>
  </si>
  <si>
    <t>Pathway Rules</t>
  </si>
  <si>
    <t>Preserve the Pathway's Income, Life Event, Deduction, Prepayment, Wildcard, Audit, and Retirement rules as defined configuration/metadata while implementing actual behavior through explicit engine logic.</t>
  </si>
  <si>
    <t>Pathways, Game Engine</t>
  </si>
  <si>
    <t>DEV-451</t>
  </si>
  <si>
    <t>Tax Rules Mapping</t>
  </si>
  <si>
    <t>Map Tax Rules by Rule ID and Tax Year. Tax-year-dependent values must be retrieved through the Tax Rules layer rather than copied into Cards or code constants.</t>
  </si>
  <si>
    <t>DEV-452</t>
  </si>
  <si>
    <t>Game Rules Mapping</t>
  </si>
  <si>
    <t>Map Game Rules by Rule ID and version. Simulation settings must remain separate from tax-law values.</t>
  </si>
  <si>
    <t>DEV-453</t>
  </si>
  <si>
    <t>Data Normalization</t>
  </si>
  <si>
    <t>Convert workbook display values into consistent application values during import, including numbers, percentages, booleans, durations, enums, and blank/null values.</t>
  </si>
  <si>
    <t>Workbook Import</t>
  </si>
  <si>
    <t>DEV-454</t>
  </si>
  <si>
    <t>Import Validation</t>
  </si>
  <si>
    <t>Reject or report malformed required data, duplicate permanent IDs, invalid references, unsupported Effect Types, and invalid configuration values before gameplay.</t>
  </si>
  <si>
    <t>DEV-455</t>
  </si>
  <si>
    <t>Workbook Text</t>
  </si>
  <si>
    <t>Do not parse narrative descriptions or Developer Notes to determine calculations. All calculation behavior must resolve to explicit structured data or approved engine logic.</t>
  </si>
  <si>
    <t>Workbook, Game Engine</t>
  </si>
  <si>
    <t>DEV-456</t>
  </si>
  <si>
    <t>Import Repeatability</t>
  </si>
  <si>
    <t>Importing the same valid workbook/configuration should produce the same normalized application data.</t>
  </si>
  <si>
    <t>DEV-457</t>
  </si>
  <si>
    <t>Source Traceability</t>
  </si>
  <si>
    <t>Retain sufficient source information to identify which Card, Pathway, Tax Rule, or Game Rule produced an effect or calculated value.</t>
  </si>
  <si>
    <t>All Data</t>
  </si>
  <si>
    <t>DEV-458</t>
  </si>
  <si>
    <t>Future Card Effects</t>
  </si>
  <si>
    <t>Keep the application architecture compatible with a future separate Card Effects dataset without requiring Card IDs or historical records to change.</t>
  </si>
  <si>
    <t>Universal Cards, Card Effects</t>
  </si>
  <si>
    <t>DEV-459</t>
  </si>
  <si>
    <t>Type System</t>
  </si>
  <si>
    <t>Use TypeScript types/interfaces for all core game entities and avoid passing unstructured objects through calculation engines.</t>
  </si>
  <si>
    <t>DEV-460</t>
  </si>
  <si>
    <t>Card Model</t>
  </si>
  <si>
    <r>
      <t xml:space="preserve">Define a production </t>
    </r>
    <r>
      <rPr>
        <sz val="10"/>
        <color theme="1"/>
        <rFont val="Arial Unicode MS"/>
        <family val="2"/>
      </rPr>
      <t>Card</t>
    </r>
    <r>
      <rPr>
        <sz val="12"/>
        <color theme="1"/>
        <rFont val="Calibri"/>
        <family val="2"/>
      </rPr>
      <t xml:space="preserve"> model representing normalized Universal Cards data.</t>
    </r>
  </si>
  <si>
    <t>DEV-461</t>
  </si>
  <si>
    <t>Pathway Model</t>
  </si>
  <si>
    <r>
      <t xml:space="preserve">Define a </t>
    </r>
    <r>
      <rPr>
        <sz val="10"/>
        <color theme="1"/>
        <rFont val="Arial Unicode MS"/>
        <family val="2"/>
      </rPr>
      <t>Pathway</t>
    </r>
    <r>
      <rPr>
        <sz val="12"/>
        <color theme="1"/>
        <rFont val="Calibri"/>
        <family val="2"/>
      </rPr>
      <t xml:space="preserve"> model representing persistent Pathway configuration and behavior references.</t>
    </r>
  </si>
  <si>
    <t>DEV-462</t>
  </si>
  <si>
    <t>Tax Rule Model</t>
  </si>
  <si>
    <r>
      <t xml:space="preserve">Define a </t>
    </r>
    <r>
      <rPr>
        <sz val="10"/>
        <color theme="1"/>
        <rFont val="Arial Unicode MS"/>
        <family val="2"/>
      </rPr>
      <t>TaxRule</t>
    </r>
    <r>
      <rPr>
        <sz val="12"/>
        <color theme="1"/>
        <rFont val="Calibri"/>
        <family val="2"/>
      </rPr>
      <t xml:space="preserve"> model containing Rule ID, Tax Year, applicable classification/status, values, and required metadata.</t>
    </r>
  </si>
  <si>
    <t>DEV-463</t>
  </si>
  <si>
    <t>Game Rule Model</t>
  </si>
  <si>
    <r>
      <t xml:space="preserve">Define a </t>
    </r>
    <r>
      <rPr>
        <sz val="10"/>
        <color theme="1"/>
        <rFont val="Arial Unicode MS"/>
        <family val="2"/>
      </rPr>
      <t>GameRule</t>
    </r>
    <r>
      <rPr>
        <sz val="12"/>
        <color theme="1"/>
        <rFont val="Calibri"/>
        <family val="2"/>
      </rPr>
      <t xml:space="preserve"> model for configurable simulation values independent of tax law.</t>
    </r>
  </si>
  <si>
    <t>DEV-464</t>
  </si>
  <si>
    <t>Game Session Model</t>
  </si>
  <si>
    <r>
      <t xml:space="preserve">Define a </t>
    </r>
    <r>
      <rPr>
        <sz val="10"/>
        <color theme="1"/>
        <rFont val="Arial Unicode MS"/>
        <family val="2"/>
      </rPr>
      <t>GameSession</t>
    </r>
    <r>
      <rPr>
        <sz val="12"/>
        <color theme="1"/>
        <rFont val="Calibri"/>
        <family val="2"/>
      </rPr>
      <t xml:space="preserve"> containing Session ID/code, Tax Year, Game Rules version, status, and session configuration.</t>
    </r>
  </si>
  <si>
    <t>DEV-465</t>
  </si>
  <si>
    <t>Player Model</t>
  </si>
  <si>
    <t>Separate basic player/session identity from mutable Player State.</t>
  </si>
  <si>
    <t>Players</t>
  </si>
  <si>
    <t>DEV-466</t>
  </si>
  <si>
    <t>Player State Model</t>
  </si>
  <si>
    <r>
      <t xml:space="preserve">Define </t>
    </r>
    <r>
      <rPr>
        <sz val="10"/>
        <color theme="1"/>
        <rFont val="Arial Unicode MS"/>
        <family val="2"/>
      </rPr>
      <t>PlayerState</t>
    </r>
    <r>
      <rPr>
        <sz val="12"/>
        <color theme="1"/>
        <rFont val="Calibri"/>
        <family val="2"/>
      </rPr>
      <t xml:space="preserve"> for current round, stage, filing status, dependents, homeowner status, retirement, Cash/Resources, investments, income sources, and Active Effects.</t>
    </r>
  </si>
  <si>
    <t>DEV-467</t>
  </si>
  <si>
    <t>Income Source Model</t>
  </si>
  <si>
    <r>
      <t xml:space="preserve">Define an </t>
    </r>
    <r>
      <rPr>
        <sz val="10"/>
        <color theme="1"/>
        <rFont val="Arial Unicode MS"/>
        <family val="2"/>
      </rPr>
      <t>IncomeSource</t>
    </r>
    <r>
      <rPr>
        <sz val="12"/>
        <color theme="1"/>
        <rFont val="Calibri"/>
        <family val="2"/>
      </rPr>
      <t xml:space="preserve"> model preserving source ID, income classification, amount, round, and origin.</t>
    </r>
  </si>
  <si>
    <t>Income, Wildcards, Retirement</t>
  </si>
  <si>
    <t>DEV-468</t>
  </si>
  <si>
    <t>Dependent Model</t>
  </si>
  <si>
    <r>
      <t xml:space="preserve">Define a </t>
    </r>
    <r>
      <rPr>
        <sz val="10"/>
        <color theme="1"/>
        <rFont val="Arial Unicode MS"/>
        <family val="2"/>
      </rPr>
      <t>Dependent</t>
    </r>
    <r>
      <rPr>
        <sz val="12"/>
        <color theme="1"/>
        <rFont val="Calibri"/>
        <family val="2"/>
      </rPr>
      <t xml:space="preserve"> model preserving source, type, activation round, duration, expiration, and permanent/pathway status.</t>
    </r>
  </si>
  <si>
    <t>DEV-469</t>
  </si>
  <si>
    <t>Investment Model</t>
  </si>
  <si>
    <r>
      <t xml:space="preserve">Define an </t>
    </r>
    <r>
      <rPr>
        <sz val="10"/>
        <color theme="1"/>
        <rFont val="Arial Unicode MS"/>
        <family val="2"/>
      </rPr>
      <t>Investment</t>
    </r>
    <r>
      <rPr>
        <sz val="12"/>
        <color theme="1"/>
        <rFont val="Calibri"/>
        <family val="2"/>
      </rPr>
      <t xml:space="preserve"> model preserving source Card ID, acquisition round, recurring income, retirement value, activation timing, and active status.</t>
    </r>
  </si>
  <si>
    <t>DEV-470</t>
  </si>
  <si>
    <t>Active Effect Model</t>
  </si>
  <si>
    <r>
      <t xml:space="preserve">Define an </t>
    </r>
    <r>
      <rPr>
        <sz val="10"/>
        <color theme="1"/>
        <rFont val="Arial Unicode MS"/>
        <family val="2"/>
      </rPr>
      <t>ActiveEffect</t>
    </r>
    <r>
      <rPr>
        <sz val="12"/>
        <color theme="1"/>
        <rFont val="Calibri"/>
        <family val="2"/>
      </rPr>
      <t xml:space="preserve"> model with source ID, effect type, start round, duration, activation timing, expiration, and active/inactive status.</t>
    </r>
  </si>
  <si>
    <t>DEV-471</t>
  </si>
  <si>
    <t>Round History Model</t>
  </si>
  <si>
    <r>
      <t xml:space="preserve">Define </t>
    </r>
    <r>
      <rPr>
        <sz val="10"/>
        <color theme="1"/>
        <rFont val="Arial Unicode MS"/>
        <family val="2"/>
      </rPr>
      <t>RoundHistory</t>
    </r>
    <r>
      <rPr>
        <sz val="12"/>
        <color theme="1"/>
        <rFont val="Calibri"/>
        <family val="2"/>
      </rPr>
      <t xml:space="preserve"> for round identity, status, and connection to actions/cards.</t>
    </r>
  </si>
  <si>
    <t>DEV-472</t>
  </si>
  <si>
    <t>Card History Model</t>
  </si>
  <si>
    <r>
      <t xml:space="preserve">Define </t>
    </r>
    <r>
      <rPr>
        <sz val="10"/>
        <color theme="1"/>
        <rFont val="Arial Unicode MS"/>
        <family val="2"/>
      </rPr>
      <t>CardHistory</t>
    </r>
    <r>
      <rPr>
        <sz val="12"/>
        <color theme="1"/>
        <rFont val="Calibri"/>
        <family val="2"/>
      </rPr>
      <t xml:space="preserve"> for every processed card including Card ID, stage, source, order, snapshot values, choice, eligibility, and applied status.</t>
    </r>
  </si>
  <si>
    <t>DEV-473</t>
  </si>
  <si>
    <t>Calculation Result Model</t>
  </si>
  <si>
    <t>Define a structured current-round calculation result containing income, deductions, taxable income, credits, tax, prepayment, refund/due, penalties, Living Costs, and resource effects.</t>
  </si>
  <si>
    <t>Tax Engine, Round Engine</t>
  </si>
  <si>
    <t>DEV-474</t>
  </si>
  <si>
    <t>Life Ledger Model</t>
  </si>
  <si>
    <r>
      <t xml:space="preserve">Define a finalized </t>
    </r>
    <r>
      <rPr>
        <sz val="10"/>
        <color theme="1"/>
        <rFont val="Arial Unicode MS"/>
        <family val="2"/>
      </rPr>
      <t>LifeLedger</t>
    </r>
    <r>
      <rPr>
        <sz val="12"/>
        <color theme="1"/>
        <rFont val="Calibri"/>
        <family val="2"/>
      </rPr>
      <t xml:space="preserve"> model using the fields established in Phase 10D.</t>
    </r>
  </si>
  <si>
    <t>DEV-475</t>
  </si>
  <si>
    <t>Money Representation</t>
  </si>
  <si>
    <t>Use one consistent money representation and rounding utility throughout the application rather than ad hoc JavaScript floating-point calculations.</t>
  </si>
  <si>
    <t>All Financial Calculations</t>
  </si>
  <si>
    <t>DEV-476</t>
  </si>
  <si>
    <t>Enums</t>
  </si>
  <si>
    <t>Use controlled enums/unions for Card Type, Round Stage, Filing Status, Income Type, Effect Duration, Session Status, Player Status, and other finite classifications.</t>
  </si>
  <si>
    <t>DEV-477</t>
  </si>
  <si>
    <t>Validation Schema</t>
  </si>
  <si>
    <t>Pair production TypeScript models with runtime validation for imported workbook/configuration data and external application inputs.</t>
  </si>
  <si>
    <t>DEV-478</t>
  </si>
  <si>
    <t>Engine Architecture</t>
  </si>
  <si>
    <t>Separate game orchestration, validation, effects, tax calculations, resources, audits, and persistence into defined modules rather than one large calculation function.</t>
  </si>
  <si>
    <t>DEV-479</t>
  </si>
  <si>
    <t>Round Engine owns stage progression, sequencing, recalculation requests, round validation, and finalization.</t>
  </si>
  <si>
    <t>DEV-480</t>
  </si>
  <si>
    <t>Card Validator</t>
  </si>
  <si>
    <t>Card Validator determines whether a selected physical card exists, is active, belongs to the current stage, and is eligible for the current Player State.</t>
  </si>
  <si>
    <t>DEV-481</t>
  </si>
  <si>
    <t>Card Effect Engine</t>
  </si>
  <si>
    <t>Card Effect Engine converts approved structured card effects into draft Player State/current-round changes.</t>
  </si>
  <si>
    <t>DEV-482</t>
  </si>
  <si>
    <t>Pathway Engine</t>
  </si>
  <si>
    <t>Pathway Engine applies Pathway-specific exceptions including Corporate Climber, Entrepreneur, Caregiver, Home Builder, Lifelong Learner, Side Hustler, Investor, and Early Retiree.</t>
  </si>
  <si>
    <t>DEV-483</t>
  </si>
  <si>
    <t>Tax Engine owns deterministic federal tax calculations using normalized income, Tax Rules, filing status, dependents, deductions, credits, and approved special treatment.</t>
  </si>
  <si>
    <t>DEV-484</t>
  </si>
  <si>
    <t>Deduction processing determines eligible Itemized Deductions and compares them with the applicable Standard Deduction.</t>
  </si>
  <si>
    <t>DEV-485</t>
  </si>
  <si>
    <t>Prepayment Engine</t>
  </si>
  <si>
    <t>Prepayment processing calculates the current round's tax prepayment from the selected rate and applicable calculated tax.</t>
  </si>
  <si>
    <t>DEV-486</t>
  </si>
  <si>
    <t>Audit Engine</t>
  </si>
  <si>
    <t>Audit Engine validates Audit Results, applies applicable adjustments, and requests recalculation where necessary.</t>
  </si>
  <si>
    <t>DEV-487</t>
  </si>
  <si>
    <t>Living Cost Engine applies the configurable progressive Living Cost bands without affecting taxable income.</t>
  </si>
  <si>
    <t>DEV-488</t>
  </si>
  <si>
    <t>Resource Engine</t>
  </si>
  <si>
    <t>Resource Engine reconciles Cash/Resources inflows and outflows and ensures tax cost is counted only once.</t>
  </si>
  <si>
    <t>DEV-489</t>
  </si>
  <si>
    <t>Effect Lifecycle Engine</t>
  </si>
  <si>
    <t>Effect Lifecycle logic activates, carries forward, expires, or removes temporary/persistent effects at the correct round boundary.</t>
  </si>
  <si>
    <t>DEV-490</t>
  </si>
  <si>
    <t>Investment Engine</t>
  </si>
  <si>
    <t>Investment logic owns acquisition timing, recurring income activation, stacking, persistence, and retirement values.</t>
  </si>
  <si>
    <t>DEV-491</t>
  </si>
  <si>
    <t>Retirement Engine</t>
  </si>
  <si>
    <t>Retirement logic determines retirement transition timing and replacement of normal primary Income draws.</t>
  </si>
  <si>
    <t>DEV-492</t>
  </si>
  <si>
    <t>Results Engine</t>
  </si>
  <si>
    <t>Results logic transforms finalized calculations into the simplified player-facing Round Results.</t>
  </si>
  <si>
    <t>Results</t>
  </si>
  <si>
    <t>DEV-493</t>
  </si>
  <si>
    <t>Ledger Engine</t>
  </si>
  <si>
    <t>Life Ledger logic creates an immutable finalized snapshot from the completed round.</t>
  </si>
  <si>
    <t>DEV-494</t>
  </si>
  <si>
    <t>Story Layer</t>
  </si>
  <si>
    <t>My Tax Life Story consumes finalized historical data and may use AI for explanation/narrative, but AI never performs authoritative game or tax calculations.</t>
  </si>
  <si>
    <t>DEV-495</t>
  </si>
  <si>
    <t>Analytics Layer</t>
  </si>
  <si>
    <t>Teacher analytics derives learning/usage information from structured game history and Life Ledger data without modifying gameplay.</t>
  </si>
  <si>
    <t>DEV-496</t>
  </si>
  <si>
    <t>Pure Calculations</t>
  </si>
  <si>
    <t>Core calculation functions should receive explicit inputs and return explicit outputs with minimal hidden state, making calculations easier to test and reproduce.</t>
  </si>
  <si>
    <t>DEV-497</t>
  </si>
  <si>
    <t>Rebuild from Inputs</t>
  </si>
  <si>
    <t>Draft-round recalculation should rebuild from authoritative inputs/state instead of incrementally mutating the previous calculated result.</t>
  </si>
  <si>
    <t>DEV-498</t>
  </si>
  <si>
    <t>Unit Tests</t>
  </si>
  <si>
    <t>Create automated tests for each core calculation engine and major game rule.</t>
  </si>
  <si>
    <t>DEV-499</t>
  </si>
  <si>
    <t>Card Validation Tests</t>
  </si>
  <si>
    <t>Test applicable/inapplicable marriage, divorce, dependent, homeowner, deduction, and Audit scenarios.</t>
  </si>
  <si>
    <t>Cards, Validation</t>
  </si>
  <si>
    <t>DEV-500</t>
  </si>
  <si>
    <t>Pathway Tests</t>
  </si>
  <si>
    <t>Create dedicated tests for all eight Pathways and their exceptions.</t>
  </si>
  <si>
    <t>PATH-001 through PATH-008</t>
  </si>
  <si>
    <t>DEV-501</t>
  </si>
  <si>
    <t>Income Tests</t>
  </si>
  <si>
    <t>Test W-2, Business, multiple income sources, Wildcard income, Investment Income, and Retirement Income independently and in combination.</t>
  </si>
  <si>
    <t>DEV-502</t>
  </si>
  <si>
    <t>Deduction Tests</t>
  </si>
  <si>
    <t>Test Standard vs. Itemized comparisons, homeowner requirements, and post-Audit recalculation.</t>
  </si>
  <si>
    <t>Deductions</t>
  </si>
  <si>
    <t>DEV-503</t>
  </si>
  <si>
    <t>Prepayment Tests</t>
  </si>
  <si>
    <t>Test 0%, underpayment, exact/near-exact prepayment, and overpayment/refund scenarios.</t>
  </si>
  <si>
    <t>DEV-504</t>
  </si>
  <si>
    <t>Cash Reconciliation Tests</t>
  </si>
  <si>
    <t>Verify that Final Tax, prepayments, Refund/Amount Due, Living Costs, penalties, and expenses reconcile without double-counting Cash/Resources.</t>
  </si>
  <si>
    <t>DEV-505</t>
  </si>
  <si>
    <t>Effect Timing Tests</t>
  </si>
  <si>
    <t>Test one-round, two-round, persistent, next-round activation, expiration, and final-round behavior.</t>
  </si>
  <si>
    <t>DEV-506</t>
  </si>
  <si>
    <t>Investment Tests</t>
  </si>
  <si>
    <t>Test investment acquisition, next-round recurring income, multiple investments, Investor starting asset, retirement continuation, and final-round acquisition.</t>
  </si>
  <si>
    <t>DEV-507</t>
  </si>
  <si>
    <t>Retirement Tests</t>
  </si>
  <si>
    <t>Test normal Round 5 retirement and Early Retiree Round 4 transition while preserving existing state.</t>
  </si>
  <si>
    <t>DEV-508</t>
  </si>
  <si>
    <t>Audit Tests</t>
  </si>
  <si>
    <t>Test all Audit Results, eligibility filtering, recalculation, no-change results, and penalties.</t>
  </si>
  <si>
    <t>DEV-509</t>
  </si>
  <si>
    <t>Negative Resource Tests</t>
  </si>
  <si>
    <t>Verify gameplay continues correctly when Cash/Resources becomes or remains negative.</t>
  </si>
  <si>
    <t>DEV-510</t>
  </si>
  <si>
    <t>History Tests</t>
  </si>
  <si>
    <t>Verify finalized Round History and Life Ledger records remain unchanged when future Player State or reference data changes.</t>
  </si>
  <si>
    <t>History, Life Ledger</t>
  </si>
  <si>
    <t>DEV-511</t>
  </si>
  <si>
    <t>Idempotency Tests</t>
  </si>
  <si>
    <t>Verify repeated requests, double-clicks, refreshes, or retries cannot duplicate card effects or finalized records.</t>
  </si>
  <si>
    <t>Application, Database</t>
  </si>
  <si>
    <t>DEV-512</t>
  </si>
  <si>
    <t>Workbook Import Tests</t>
  </si>
  <si>
    <t>Validate IDs, required fields, references, data types, enums, percentages, and configuration before imported data is accepted.</t>
  </si>
  <si>
    <t>Workbook</t>
  </si>
  <si>
    <t>DEV-513</t>
  </si>
  <si>
    <t>Full Game Tests</t>
  </si>
  <si>
    <t>Create multiple automated Round 1→5 simulations covering different Pathways, incomes, Life Events, deductions, Wildcards, Audits, investments, and retirement outcomes.</t>
  </si>
  <si>
    <t>DEV-514</t>
  </si>
  <si>
    <t>Regression Tests</t>
  </si>
  <si>
    <t>When a rule or bug is changed, add a test representing that case before considering the correction complete.</t>
  </si>
  <si>
    <t>DEV-515</t>
  </si>
  <si>
    <t>Calculation Fixtures</t>
  </si>
  <si>
    <t>Maintain known input/output scenarios so future code changes can be checked against previously approved calculations.</t>
  </si>
  <si>
    <t>DEV-516</t>
  </si>
  <si>
    <t>Tax Year Tests</t>
  </si>
  <si>
    <t>Test each supported Tax Year independently and ensure missing-year rules fail clearly instead of silently using another year's values.</t>
  </si>
  <si>
    <t>DEV-517</t>
  </si>
  <si>
    <t>Code Freeze</t>
  </si>
  <si>
    <t>DEV-001 through DEV-517 plus the finalized workbook constitute the initial production specification. Any intentional rule change after coding begins should be documented before changing engine behavior.</t>
  </si>
  <si>
    <t>Entire Project</t>
  </si>
  <si>
    <t>DEV-518</t>
  </si>
  <si>
    <t>No Legacy Snippets</t>
  </si>
  <si>
    <t>Earlier illustrative code snippets from planning conversations are not production source code. The consolidated implementation created after specification freeze becomes the authoritative codebase.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</si>
</sst>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44" formatCode="_(&quot;$&quot;* #,##0.00_);_(&quot;$&quot;* \(#,##0.00\);_(&quot;$&quot;* &quot;-&quot;??_);_(@_)"/>
  </numFmts>
  <fonts count="22" x14ac:knownFonts="1">
    <font>
      <sz val="12"/>
      <color theme="1"/>
      <name val="Calibri"/>
      <family val="2"/>
    </font>
    <font>
      <sz val="12"/>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2"/>
      <color rgb="FF006100"/>
      <name val="Calibri"/>
      <family val="2"/>
    </font>
    <font>
      <sz val="12"/>
      <color rgb="FF9C0006"/>
      <name val="Calibri"/>
      <family val="2"/>
    </font>
    <font>
      <sz val="12"/>
      <color rgb="FF9C5700"/>
      <name val="Calibri"/>
      <family val="2"/>
    </font>
    <font>
      <sz val="12"/>
      <color rgb="FF3F3F76"/>
      <name val="Calibri"/>
      <family val="2"/>
    </font>
    <font>
      <b/>
      <sz val="12"/>
      <color rgb="FF3F3F3F"/>
      <name val="Calibri"/>
      <family val="2"/>
    </font>
    <font>
      <b/>
      <sz val="12"/>
      <color rgb="FFFA7D00"/>
      <name val="Calibri"/>
      <family val="2"/>
    </font>
    <font>
      <sz val="12"/>
      <color rgb="FFFA7D00"/>
      <name val="Calibri"/>
      <family val="2"/>
    </font>
    <font>
      <b/>
      <sz val="12"/>
      <color theme="0"/>
      <name val="Calibri"/>
      <family val="2"/>
    </font>
    <font>
      <sz val="12"/>
      <color rgb="FFFF0000"/>
      <name val="Calibri"/>
      <family val="2"/>
    </font>
    <font>
      <i/>
      <sz val="12"/>
      <color rgb="FF7F7F7F"/>
      <name val="Calibri"/>
      <family val="2"/>
    </font>
    <font>
      <b/>
      <sz val="12"/>
      <color theme="1"/>
      <name val="Calibri"/>
      <family val="2"/>
    </font>
    <font>
      <sz val="12"/>
      <color theme="0"/>
      <name val="Calibri"/>
      <family val="2"/>
    </font>
    <font>
      <sz val="10"/>
      <color theme="1"/>
      <name val="Arial Unicode MS"/>
      <family val="2"/>
    </font>
    <font>
      <i/>
      <sz val="12"/>
      <color theme="1"/>
      <name val="Calibri"/>
      <family val="2"/>
    </font>
    <font>
      <b/>
      <sz val="14"/>
      <color theme="1"/>
      <name val="Calibri"/>
      <family val="2"/>
    </font>
    <font>
      <b/>
      <sz val="13.5"/>
      <color theme="1"/>
      <name val="Calibri"/>
      <family val="2"/>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1"/>
        <bgColor indexed="64"/>
      </patternFill>
    </fill>
    <fill>
      <patternFill patternType="solid">
        <fgColor theme="2" tint="-0.499984740745262"/>
        <bgColor indexed="64"/>
      </patternFill>
    </fill>
    <fill>
      <patternFill patternType="solid">
        <fgColor theme="8" tint="0.59999389629810485"/>
        <bgColor indexed="64"/>
      </patternFill>
    </fill>
    <fill>
      <patternFill patternType="solid">
        <fgColor rgb="FF00B050"/>
        <bgColor indexed="64"/>
      </patternFill>
    </fill>
    <fill>
      <patternFill patternType="gray0625">
        <bgColor theme="9" tint="0.79995117038483843"/>
      </patternFill>
    </fill>
    <fill>
      <patternFill patternType="solid">
        <fgColor theme="7" tint="0.59999389629810485"/>
        <bgColor indexed="64"/>
      </patternFill>
    </fill>
    <fill>
      <patternFill patternType="solid">
        <fgColor theme="1"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69">
    <xf numFmtId="0" fontId="0" fillId="0" borderId="0" xfId="0"/>
    <xf numFmtId="0" fontId="16" fillId="0" borderId="0" xfId="0" applyFont="1"/>
    <xf numFmtId="0" fontId="0" fillId="0" borderId="0" xfId="0" applyAlignment="1">
      <alignment wrapText="1"/>
    </xf>
    <xf numFmtId="9" fontId="0" fillId="0" borderId="0" xfId="43" applyFont="1"/>
    <xf numFmtId="0" fontId="16" fillId="37" borderId="0" xfId="0" applyFont="1" applyFill="1"/>
    <xf numFmtId="0" fontId="0" fillId="37" borderId="0" xfId="0" applyFill="1"/>
    <xf numFmtId="0" fontId="16" fillId="34" borderId="0" xfId="0" applyFont="1" applyFill="1"/>
    <xf numFmtId="0" fontId="17" fillId="38" borderId="0" xfId="0" applyFont="1" applyFill="1"/>
    <xf numFmtId="0" fontId="17" fillId="37" borderId="0" xfId="0" applyFont="1" applyFill="1"/>
    <xf numFmtId="44" fontId="17" fillId="38" borderId="0" xfId="42" applyFont="1" applyFill="1"/>
    <xf numFmtId="44" fontId="16" fillId="34" borderId="0" xfId="42" applyFont="1" applyFill="1"/>
    <xf numFmtId="44" fontId="0" fillId="34" borderId="0" xfId="42" applyFont="1" applyFill="1"/>
    <xf numFmtId="44" fontId="0" fillId="0" borderId="0" xfId="42" applyFont="1"/>
    <xf numFmtId="44" fontId="0" fillId="34" borderId="0" xfId="0" applyNumberFormat="1" applyFill="1"/>
    <xf numFmtId="44" fontId="17" fillId="38" borderId="0" xfId="0" applyNumberFormat="1" applyFont="1" applyFill="1"/>
    <xf numFmtId="0" fontId="16" fillId="39" borderId="0" xfId="0" applyFont="1" applyFill="1"/>
    <xf numFmtId="44" fontId="0" fillId="39" borderId="0" xfId="0" applyNumberFormat="1" applyFill="1"/>
    <xf numFmtId="0" fontId="16" fillId="33" borderId="0" xfId="0" applyFont="1" applyFill="1"/>
    <xf numFmtId="44" fontId="0" fillId="33" borderId="0" xfId="0" applyNumberFormat="1" applyFill="1"/>
    <xf numFmtId="0" fontId="0" fillId="0" borderId="0" xfId="0" applyAlignment="1">
      <alignment horizontal="right" vertical="center" wrapText="1"/>
    </xf>
    <xf numFmtId="0" fontId="16" fillId="0" borderId="0" xfId="0" applyFont="1" applyAlignment="1">
      <alignment horizontal="righ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19" fillId="0" borderId="0" xfId="0" applyFont="1" applyAlignment="1">
      <alignment horizontal="center" wrapText="1"/>
    </xf>
    <xf numFmtId="0" fontId="16" fillId="0" borderId="0" xfId="0" applyFont="1" applyAlignment="1">
      <alignment vertical="center" wrapText="1"/>
    </xf>
    <xf numFmtId="0" fontId="20" fillId="0" borderId="10" xfId="0" applyFont="1" applyBorder="1" applyAlignment="1">
      <alignment horizontal="center" wrapText="1"/>
    </xf>
    <xf numFmtId="6" fontId="20" fillId="0" borderId="10" xfId="0" applyNumberFormat="1" applyFont="1" applyBorder="1" applyAlignment="1">
      <alignment horizontal="center" wrapText="1"/>
    </xf>
    <xf numFmtId="0" fontId="0" fillId="40" borderId="0" xfId="0" applyFill="1" applyAlignment="1">
      <alignment vertical="center" wrapText="1"/>
    </xf>
    <xf numFmtId="0" fontId="0" fillId="40" borderId="0" xfId="0" applyFill="1" applyAlignment="1">
      <alignment horizontal="right" vertical="center" wrapText="1"/>
    </xf>
    <xf numFmtId="0" fontId="0" fillId="40" borderId="0" xfId="0" applyFill="1" applyAlignment="1">
      <alignment wrapText="1"/>
    </xf>
    <xf numFmtId="0" fontId="16" fillId="40" borderId="0" xfId="0" applyFont="1" applyFill="1" applyAlignment="1">
      <alignment vertical="center" wrapText="1"/>
    </xf>
    <xf numFmtId="0" fontId="0" fillId="41" borderId="0" xfId="0" applyFill="1" applyAlignment="1">
      <alignment vertical="center" wrapText="1"/>
    </xf>
    <xf numFmtId="0" fontId="0" fillId="41" borderId="0" xfId="0" applyFill="1" applyAlignment="1">
      <alignment horizontal="right" vertical="center" wrapText="1"/>
    </xf>
    <xf numFmtId="0" fontId="0" fillId="41" borderId="0" xfId="0" applyFill="1" applyAlignment="1">
      <alignment wrapText="1"/>
    </xf>
    <xf numFmtId="0" fontId="0" fillId="40" borderId="0" xfId="0" applyFill="1" applyAlignment="1">
      <alignment horizontal="center" vertical="center" wrapText="1"/>
    </xf>
    <xf numFmtId="0" fontId="0" fillId="41" borderId="0" xfId="0" applyFill="1" applyAlignment="1">
      <alignment horizontal="center" vertical="center" wrapText="1"/>
    </xf>
    <xf numFmtId="0" fontId="0" fillId="0" borderId="0" xfId="0" applyAlignment="1">
      <alignment horizontal="center" wrapText="1"/>
    </xf>
    <xf numFmtId="0" fontId="0" fillId="36" borderId="0" xfId="0" applyFill="1" applyAlignment="1">
      <alignment vertical="center" wrapText="1"/>
    </xf>
    <xf numFmtId="0" fontId="0" fillId="36" borderId="0" xfId="0" applyFill="1" applyAlignment="1">
      <alignment horizontal="right" vertical="center" wrapText="1"/>
    </xf>
    <xf numFmtId="0" fontId="0" fillId="36" borderId="0" xfId="0" applyFill="1" applyAlignment="1">
      <alignment wrapText="1"/>
    </xf>
    <xf numFmtId="0" fontId="21" fillId="0" borderId="0" xfId="0" applyFont="1" applyAlignment="1">
      <alignment vertical="center"/>
    </xf>
    <xf numFmtId="0" fontId="0" fillId="42" borderId="0" xfId="0" applyFill="1" applyAlignment="1">
      <alignment vertical="center" wrapText="1"/>
    </xf>
    <xf numFmtId="0" fontId="0" fillId="42" borderId="0" xfId="0" applyFill="1" applyAlignment="1">
      <alignment horizontal="right" vertical="center" wrapText="1"/>
    </xf>
    <xf numFmtId="0" fontId="0" fillId="42" borderId="0" xfId="0" applyFill="1" applyAlignment="1">
      <alignment wrapText="1"/>
    </xf>
    <xf numFmtId="0" fontId="0" fillId="35" borderId="0" xfId="0" applyFill="1" applyAlignment="1">
      <alignment vertical="center" wrapText="1"/>
    </xf>
    <xf numFmtId="0" fontId="0" fillId="35" borderId="0" xfId="0" applyFill="1" applyAlignment="1">
      <alignment horizontal="right" vertical="center" wrapText="1"/>
    </xf>
    <xf numFmtId="0" fontId="0" fillId="35" borderId="0" xfId="0" applyFill="1" applyAlignment="1">
      <alignment wrapText="1"/>
    </xf>
    <xf numFmtId="0" fontId="0" fillId="39" borderId="0" xfId="0" applyFill="1"/>
    <xf numFmtId="0" fontId="17" fillId="43" borderId="0" xfId="0" applyFont="1" applyFill="1" applyAlignment="1">
      <alignment vertical="center" wrapText="1"/>
    </xf>
    <xf numFmtId="0" fontId="17" fillId="43" borderId="0" xfId="0" applyFont="1" applyFill="1" applyAlignment="1">
      <alignment horizontal="right" vertical="center" wrapText="1"/>
    </xf>
    <xf numFmtId="0" fontId="17" fillId="43" borderId="0" xfId="0" applyFont="1" applyFill="1" applyAlignment="1">
      <alignment wrapText="1"/>
    </xf>
    <xf numFmtId="0" fontId="0" fillId="42" borderId="0" xfId="0" applyFill="1" applyAlignment="1">
      <alignment horizontal="center" vertical="center" wrapText="1"/>
    </xf>
    <xf numFmtId="0" fontId="0" fillId="35" borderId="0" xfId="0" applyFill="1" applyAlignment="1">
      <alignment horizontal="center" vertical="center" wrapText="1"/>
    </xf>
    <xf numFmtId="0" fontId="0" fillId="39" borderId="0" xfId="0" applyFill="1" applyAlignment="1">
      <alignment horizontal="center"/>
    </xf>
    <xf numFmtId="0" fontId="17" fillId="43" borderId="0" xfId="0" applyFont="1" applyFill="1" applyAlignment="1">
      <alignment horizontal="center" vertical="center" wrapText="1"/>
    </xf>
    <xf numFmtId="0" fontId="18" fillId="0" borderId="0" xfId="0" applyFont="1"/>
    <xf numFmtId="0" fontId="18" fillId="0" borderId="0" xfId="0" applyFont="1" applyAlignment="1">
      <alignment vertical="center" wrapText="1"/>
    </xf>
    <xf numFmtId="0" fontId="18"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16" fillId="0" borderId="0" xfId="0" applyFont="1" applyAlignment="1">
      <alignment horizontal="center" vertical="center"/>
    </xf>
    <xf numFmtId="0" fontId="16" fillId="0" borderId="0" xfId="0" applyFont="1" applyAlignment="1">
      <alignment horizontal="right" vertical="center"/>
    </xf>
    <xf numFmtId="0" fontId="0" fillId="0" borderId="0" xfId="0" applyAlignment="1">
      <alignment horizontal="right" vertical="center"/>
    </xf>
    <xf numFmtId="0" fontId="18" fillId="36" borderId="0" xfId="0" applyFont="1" applyFill="1" applyAlignment="1">
      <alignment vertical="center" wrapText="1"/>
    </xf>
    <xf numFmtId="9" fontId="0" fillId="0" borderId="0" xfId="0" applyNumberFormat="1" applyAlignment="1">
      <alignment horizontal="right" vertical="center" wrapText="1"/>
    </xf>
    <xf numFmtId="6" fontId="0" fillId="0" borderId="0" xfId="0" applyNumberFormat="1" applyAlignment="1">
      <alignment horizontal="right" vertical="center" wrapText="1"/>
    </xf>
    <xf numFmtId="6" fontId="0" fillId="0" borderId="0" xfId="0" applyNumberFormat="1" applyAlignment="1">
      <alignment horizontal="right" vertical="center"/>
    </xf>
    <xf numFmtId="10" fontId="0" fillId="0" borderId="0" xfId="0" applyNumberFormat="1" applyAlignment="1">
      <alignment horizontal="right"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1BBD5-0E3B-415B-B3AE-4ACF96941B19}">
  <dimension ref="A1:O8"/>
  <sheetViews>
    <sheetView workbookViewId="0"/>
  </sheetViews>
  <sheetFormatPr defaultRowHeight="15.75" x14ac:dyDescent="0.25"/>
  <cols>
    <col min="1" max="1" width="10.75" bestFit="1" customWidth="1"/>
    <col min="2" max="2" width="28.125" bestFit="1" customWidth="1"/>
    <col min="3" max="3" width="14.375" customWidth="1"/>
    <col min="4" max="4" width="14.375" bestFit="1" customWidth="1"/>
    <col min="5" max="5" width="9.5" style="12" customWidth="1"/>
    <col min="6" max="6" width="11.125" bestFit="1" customWidth="1"/>
    <col min="7" max="7" width="11.125" customWidth="1"/>
    <col min="8" max="9" width="11.5" customWidth="1"/>
    <col min="10" max="10" width="11.625" customWidth="1"/>
    <col min="11" max="11" width="1.125" style="5" customWidth="1"/>
  </cols>
  <sheetData>
    <row r="1" spans="1:15" s="7" customFormat="1" x14ac:dyDescent="0.25">
      <c r="A1" s="7" t="s">
        <v>24</v>
      </c>
      <c r="E1" s="9"/>
      <c r="F1" s="14">
        <f>F2/F3</f>
        <v>29.5</v>
      </c>
      <c r="G1" s="14"/>
      <c r="H1" s="14">
        <f t="shared" ref="H1:J1" si="0">H2/H3</f>
        <v>37.299999999999997</v>
      </c>
      <c r="I1" s="14"/>
      <c r="J1" s="14">
        <f t="shared" si="0"/>
        <v>27.35</v>
      </c>
      <c r="K1" s="8"/>
    </row>
    <row r="2" spans="1:15" s="7" customFormat="1" x14ac:dyDescent="0.25">
      <c r="A2" s="7" t="s">
        <v>23</v>
      </c>
      <c r="E2" s="9"/>
      <c r="F2" s="14">
        <f>SUM(F4:F8)</f>
        <v>295</v>
      </c>
      <c r="G2" s="14"/>
      <c r="H2" s="14">
        <f t="shared" ref="H2:J2" si="1">SUM(H4:H8)</f>
        <v>932.5</v>
      </c>
      <c r="I2" s="14"/>
      <c r="J2" s="14">
        <f t="shared" si="1"/>
        <v>2735</v>
      </c>
      <c r="K2" s="8"/>
    </row>
    <row r="3" spans="1:15" s="1" customFormat="1" x14ac:dyDescent="0.25">
      <c r="A3" s="1" t="s">
        <v>16</v>
      </c>
      <c r="B3" s="1" t="s">
        <v>18</v>
      </c>
      <c r="C3" s="1" t="s">
        <v>31</v>
      </c>
      <c r="D3" s="1" t="s">
        <v>20</v>
      </c>
      <c r="E3" s="10" t="s">
        <v>26</v>
      </c>
      <c r="F3" s="6">
        <v>10</v>
      </c>
      <c r="G3" s="15"/>
      <c r="H3" s="15">
        <v>25</v>
      </c>
      <c r="I3" s="17"/>
      <c r="J3" s="17">
        <v>100</v>
      </c>
      <c r="K3" s="4"/>
      <c r="L3">
        <v>1</v>
      </c>
      <c r="M3" s="3">
        <v>0.15</v>
      </c>
      <c r="N3">
        <v>40</v>
      </c>
      <c r="O3" t="e">
        <f>N3/$D$8</f>
        <v>#DIV/0!</v>
      </c>
    </row>
    <row r="4" spans="1:15" x14ac:dyDescent="0.25">
      <c r="A4" t="s">
        <v>11</v>
      </c>
      <c r="B4" t="s">
        <v>27</v>
      </c>
      <c r="C4" t="s">
        <v>28</v>
      </c>
      <c r="D4">
        <v>80</v>
      </c>
      <c r="E4" s="11">
        <v>11</v>
      </c>
      <c r="F4" s="13">
        <f>$E$4*F3</f>
        <v>110</v>
      </c>
      <c r="G4" s="16">
        <v>10</v>
      </c>
      <c r="H4" s="16">
        <f>G4*$H$3</f>
        <v>250</v>
      </c>
      <c r="I4" s="18">
        <v>8</v>
      </c>
      <c r="J4" s="18">
        <f>$I$4*J3</f>
        <v>800</v>
      </c>
      <c r="L4">
        <v>5</v>
      </c>
      <c r="M4" s="3">
        <v>0.5</v>
      </c>
      <c r="N4">
        <v>80</v>
      </c>
      <c r="O4" t="e">
        <f t="shared" ref="O4:O6" si="2">N4/$D$8</f>
        <v>#DIV/0!</v>
      </c>
    </row>
    <row r="5" spans="1:15" x14ac:dyDescent="0.25">
      <c r="A5" t="s">
        <v>14</v>
      </c>
      <c r="B5" t="s">
        <v>19</v>
      </c>
      <c r="C5" t="s">
        <v>29</v>
      </c>
      <c r="D5">
        <v>8</v>
      </c>
      <c r="E5" s="11">
        <v>0.75</v>
      </c>
      <c r="F5" s="13">
        <f>($D5*$E5)*F$3</f>
        <v>60</v>
      </c>
      <c r="G5" s="16">
        <v>0.6</v>
      </c>
      <c r="H5" s="16">
        <f>($D5*$G5)*H$3</f>
        <v>120</v>
      </c>
      <c r="I5" s="18">
        <v>0.4</v>
      </c>
      <c r="J5" s="18">
        <f>($D5*$E5)*J$3</f>
        <v>600</v>
      </c>
      <c r="L5">
        <v>25</v>
      </c>
      <c r="M5" s="3">
        <v>0.2</v>
      </c>
      <c r="N5">
        <f>M5*$D$8</f>
        <v>0</v>
      </c>
      <c r="O5" t="e">
        <f t="shared" si="2"/>
        <v>#DIV/0!</v>
      </c>
    </row>
    <row r="6" spans="1:15" x14ac:dyDescent="0.25">
      <c r="A6" t="s">
        <v>12</v>
      </c>
      <c r="B6" t="s">
        <v>25</v>
      </c>
      <c r="C6" t="s">
        <v>29</v>
      </c>
      <c r="D6">
        <v>10</v>
      </c>
      <c r="E6" s="11">
        <v>0.5</v>
      </c>
      <c r="F6" s="13">
        <f>($D6*$E6)*F$3</f>
        <v>50</v>
      </c>
      <c r="G6" s="16">
        <v>0.6</v>
      </c>
      <c r="H6" s="16">
        <f t="shared" ref="H6:H7" si="3">($D6*$G6)*H$3</f>
        <v>150</v>
      </c>
      <c r="I6" s="18">
        <v>0.4</v>
      </c>
      <c r="J6" s="18">
        <f>($D6*$E6)*J$3</f>
        <v>500</v>
      </c>
      <c r="L6">
        <v>100</v>
      </c>
      <c r="M6" s="3">
        <v>0.15</v>
      </c>
      <c r="N6">
        <v>40</v>
      </c>
      <c r="O6" t="e">
        <f t="shared" si="2"/>
        <v>#DIV/0!</v>
      </c>
    </row>
    <row r="7" spans="1:15" x14ac:dyDescent="0.25">
      <c r="A7" t="s">
        <v>15</v>
      </c>
      <c r="B7" t="s">
        <v>21</v>
      </c>
      <c r="C7" t="s">
        <v>29</v>
      </c>
      <c r="D7">
        <v>10</v>
      </c>
      <c r="E7" s="11">
        <v>0.75</v>
      </c>
      <c r="F7" s="13">
        <f>($D7*$E7)*F$3</f>
        <v>75</v>
      </c>
      <c r="G7" s="16">
        <v>0.6</v>
      </c>
      <c r="H7" s="16">
        <f t="shared" si="3"/>
        <v>150</v>
      </c>
      <c r="I7" s="18">
        <v>0.4</v>
      </c>
      <c r="J7" s="18">
        <f>($D7*$E7)*J$3</f>
        <v>750</v>
      </c>
      <c r="M7">
        <f>SUM(M3:M6)</f>
        <v>1</v>
      </c>
      <c r="N7">
        <f>SUM(N3:N6)</f>
        <v>160</v>
      </c>
    </row>
    <row r="8" spans="1:15" x14ac:dyDescent="0.25">
      <c r="A8" t="s">
        <v>17</v>
      </c>
      <c r="B8" t="s">
        <v>22</v>
      </c>
      <c r="C8" t="s">
        <v>30</v>
      </c>
      <c r="D8">
        <v>0</v>
      </c>
      <c r="E8" s="11">
        <v>0.85</v>
      </c>
      <c r="F8" s="13">
        <f>($D8*$E8)*F$3</f>
        <v>0</v>
      </c>
      <c r="G8" s="16">
        <v>10.5</v>
      </c>
      <c r="H8" s="16">
        <f>$G$8*H3</f>
        <v>262.5</v>
      </c>
      <c r="I8" s="18">
        <v>9</v>
      </c>
      <c r="J8" s="18">
        <f>$E$8*J3</f>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C92C3-7488-48F2-BDEC-5E32BB507760}">
  <dimension ref="A1:X76"/>
  <sheetViews>
    <sheetView tabSelected="1" workbookViewId="0">
      <pane xSplit="3" ySplit="2" topLeftCell="D48" activePane="bottomRight" state="frozen"/>
      <selection pane="topRight" activeCell="D1" sqref="D1"/>
      <selection pane="bottomLeft" activeCell="A3" sqref="A3"/>
      <selection pane="bottomRight" activeCell="B29" sqref="B29"/>
    </sheetView>
  </sheetViews>
  <sheetFormatPr defaultColWidth="20.5" defaultRowHeight="15.75" x14ac:dyDescent="0.25"/>
  <cols>
    <col min="1" max="1" width="20.5" style="2"/>
    <col min="2" max="2" width="20.5" style="37"/>
    <col min="3" max="16384" width="20.5" style="2"/>
  </cols>
  <sheetData>
    <row r="1" spans="1:24" s="24" customFormat="1" ht="78.75" x14ac:dyDescent="0.25">
      <c r="A1" s="24" t="s">
        <v>47</v>
      </c>
      <c r="B1" s="24" t="s">
        <v>48</v>
      </c>
      <c r="C1" s="24" t="s">
        <v>49</v>
      </c>
      <c r="D1" s="24" t="s">
        <v>50</v>
      </c>
      <c r="E1" s="24" t="s">
        <v>51</v>
      </c>
      <c r="F1" s="24" t="s">
        <v>52</v>
      </c>
      <c r="G1" s="24" t="s">
        <v>53</v>
      </c>
      <c r="H1" s="24" t="s">
        <v>54</v>
      </c>
      <c r="I1" s="24" t="s">
        <v>55</v>
      </c>
      <c r="J1" s="24" t="s">
        <v>56</v>
      </c>
      <c r="K1" s="24" t="s">
        <v>57</v>
      </c>
      <c r="L1" s="24" t="s">
        <v>58</v>
      </c>
      <c r="M1" s="24" t="s">
        <v>59</v>
      </c>
      <c r="N1" s="24" t="s">
        <v>60</v>
      </c>
      <c r="O1" s="24" t="s">
        <v>61</v>
      </c>
      <c r="P1" s="24" t="s">
        <v>62</v>
      </c>
      <c r="Q1" s="24" t="s">
        <v>63</v>
      </c>
      <c r="R1" s="24" t="s">
        <v>64</v>
      </c>
      <c r="S1" s="24" t="s">
        <v>65</v>
      </c>
      <c r="T1" s="24" t="s">
        <v>66</v>
      </c>
      <c r="U1" s="24" t="s">
        <v>67</v>
      </c>
      <c r="V1" s="24" t="s">
        <v>68</v>
      </c>
      <c r="W1" s="24" t="s">
        <v>69</v>
      </c>
      <c r="X1" s="24" t="s">
        <v>70</v>
      </c>
    </row>
    <row r="2" spans="1:24" s="26" customFormat="1" ht="38.25" thickBot="1" x14ac:dyDescent="0.35">
      <c r="A2" s="26" t="s">
        <v>32</v>
      </c>
      <c r="B2" s="26" t="s">
        <v>10</v>
      </c>
      <c r="C2" s="26" t="s">
        <v>0</v>
      </c>
      <c r="D2" s="26" t="s">
        <v>33</v>
      </c>
      <c r="E2" s="27" t="s">
        <v>9</v>
      </c>
      <c r="F2" s="26" t="s">
        <v>1</v>
      </c>
      <c r="G2" s="26" t="s">
        <v>34</v>
      </c>
      <c r="H2" s="26" t="s">
        <v>71</v>
      </c>
      <c r="I2" s="26" t="s">
        <v>72</v>
      </c>
      <c r="J2" s="26" t="s">
        <v>73</v>
      </c>
      <c r="K2" s="26" t="s">
        <v>74</v>
      </c>
      <c r="L2" s="26" t="s">
        <v>75</v>
      </c>
      <c r="M2" s="26" t="s">
        <v>76</v>
      </c>
      <c r="N2" s="26" t="s">
        <v>13</v>
      </c>
      <c r="O2" s="26" t="s">
        <v>77</v>
      </c>
      <c r="P2" s="26" t="s">
        <v>78</v>
      </c>
      <c r="Q2" s="26" t="s">
        <v>79</v>
      </c>
      <c r="R2" s="26" t="s">
        <v>80</v>
      </c>
      <c r="S2" s="26" t="s">
        <v>81</v>
      </c>
      <c r="T2" s="26" t="s">
        <v>35</v>
      </c>
      <c r="U2" s="26" t="s">
        <v>36</v>
      </c>
      <c r="V2" s="26" t="s">
        <v>82</v>
      </c>
      <c r="W2" s="26" t="s">
        <v>38</v>
      </c>
      <c r="X2" s="26" t="s">
        <v>37</v>
      </c>
    </row>
    <row r="3" spans="1:24" s="30" customFormat="1" ht="110.25" x14ac:dyDescent="0.25">
      <c r="A3" s="28" t="s">
        <v>90</v>
      </c>
      <c r="B3" s="35">
        <v>1</v>
      </c>
      <c r="C3" s="28" t="s">
        <v>39</v>
      </c>
      <c r="D3" s="28" t="s">
        <v>42</v>
      </c>
      <c r="E3" s="28" t="s">
        <v>5</v>
      </c>
      <c r="F3" s="28" t="s">
        <v>91</v>
      </c>
      <c r="G3" s="28" t="s">
        <v>92</v>
      </c>
      <c r="H3" s="29">
        <v>30000</v>
      </c>
      <c r="I3" s="28" t="s">
        <v>39</v>
      </c>
      <c r="J3" s="29">
        <v>30000</v>
      </c>
      <c r="K3" s="29">
        <v>1</v>
      </c>
      <c r="L3" s="28" t="s">
        <v>93</v>
      </c>
      <c r="M3" s="28" t="s">
        <v>94</v>
      </c>
      <c r="N3" s="28" t="s">
        <v>95</v>
      </c>
      <c r="O3" s="28" t="s">
        <v>96</v>
      </c>
      <c r="P3" s="28" t="s">
        <v>97</v>
      </c>
      <c r="Q3" s="28" t="s">
        <v>98</v>
      </c>
      <c r="R3" s="28" t="s">
        <v>98</v>
      </c>
      <c r="S3" s="28" t="s">
        <v>99</v>
      </c>
      <c r="T3" s="28" t="s">
        <v>100</v>
      </c>
      <c r="U3" s="28" t="s">
        <v>101</v>
      </c>
      <c r="V3" s="28" t="s">
        <v>102</v>
      </c>
      <c r="W3" s="28" t="s">
        <v>103</v>
      </c>
      <c r="X3" s="28" t="s">
        <v>104</v>
      </c>
    </row>
    <row r="4" spans="1:24" s="30" customFormat="1" ht="94.5" x14ac:dyDescent="0.25">
      <c r="A4" s="28" t="s">
        <v>105</v>
      </c>
      <c r="B4" s="35">
        <v>2</v>
      </c>
      <c r="C4" s="28" t="s">
        <v>39</v>
      </c>
      <c r="D4" s="28" t="s">
        <v>42</v>
      </c>
      <c r="E4" s="28" t="s">
        <v>5</v>
      </c>
      <c r="F4" s="28" t="s">
        <v>43</v>
      </c>
      <c r="G4" s="28" t="s">
        <v>106</v>
      </c>
      <c r="H4" s="29">
        <v>35000</v>
      </c>
      <c r="I4" s="28" t="s">
        <v>39</v>
      </c>
      <c r="J4" s="29">
        <v>35000</v>
      </c>
      <c r="K4" s="29">
        <v>1</v>
      </c>
      <c r="L4" s="28" t="s">
        <v>93</v>
      </c>
      <c r="M4" s="28" t="s">
        <v>107</v>
      </c>
      <c r="N4" s="28" t="s">
        <v>95</v>
      </c>
      <c r="O4" s="28" t="s">
        <v>96</v>
      </c>
      <c r="P4" s="28" t="s">
        <v>97</v>
      </c>
      <c r="Q4" s="28" t="s">
        <v>98</v>
      </c>
      <c r="R4" s="28" t="s">
        <v>98</v>
      </c>
      <c r="S4" s="28" t="s">
        <v>99</v>
      </c>
      <c r="T4" s="28" t="s">
        <v>108</v>
      </c>
      <c r="U4" s="28" t="s">
        <v>109</v>
      </c>
      <c r="V4" s="28" t="s">
        <v>110</v>
      </c>
      <c r="W4" s="28" t="s">
        <v>111</v>
      </c>
      <c r="X4" s="28" t="s">
        <v>104</v>
      </c>
    </row>
    <row r="5" spans="1:24" s="30" customFormat="1" ht="94.5" x14ac:dyDescent="0.25">
      <c r="A5" s="28" t="s">
        <v>112</v>
      </c>
      <c r="B5" s="35">
        <v>3</v>
      </c>
      <c r="C5" s="28" t="s">
        <v>39</v>
      </c>
      <c r="D5" s="28" t="s">
        <v>42</v>
      </c>
      <c r="E5" s="28" t="s">
        <v>5</v>
      </c>
      <c r="F5" s="28" t="s">
        <v>113</v>
      </c>
      <c r="G5" s="28" t="s">
        <v>114</v>
      </c>
      <c r="H5" s="29">
        <v>40000</v>
      </c>
      <c r="I5" s="28" t="s">
        <v>39</v>
      </c>
      <c r="J5" s="29">
        <v>40000</v>
      </c>
      <c r="K5" s="29">
        <v>1</v>
      </c>
      <c r="L5" s="28" t="s">
        <v>93</v>
      </c>
      <c r="M5" s="28" t="s">
        <v>115</v>
      </c>
      <c r="N5" s="28" t="s">
        <v>95</v>
      </c>
      <c r="O5" s="28" t="s">
        <v>96</v>
      </c>
      <c r="P5" s="28" t="s">
        <v>97</v>
      </c>
      <c r="Q5" s="28" t="s">
        <v>98</v>
      </c>
      <c r="R5" s="28" t="s">
        <v>98</v>
      </c>
      <c r="S5" s="28" t="s">
        <v>99</v>
      </c>
      <c r="T5" s="28" t="s">
        <v>116</v>
      </c>
      <c r="U5" s="28" t="s">
        <v>117</v>
      </c>
      <c r="V5" s="28" t="s">
        <v>118</v>
      </c>
      <c r="W5" s="28" t="s">
        <v>119</v>
      </c>
      <c r="X5" s="28" t="s">
        <v>104</v>
      </c>
    </row>
    <row r="6" spans="1:24" s="30" customFormat="1" ht="63" x14ac:dyDescent="0.25">
      <c r="A6" s="28" t="s">
        <v>120</v>
      </c>
      <c r="B6" s="35">
        <v>4</v>
      </c>
      <c r="C6" s="28" t="s">
        <v>39</v>
      </c>
      <c r="D6" s="28" t="s">
        <v>42</v>
      </c>
      <c r="E6" s="28" t="s">
        <v>5</v>
      </c>
      <c r="F6" s="28" t="s">
        <v>121</v>
      </c>
      <c r="G6" s="28" t="s">
        <v>122</v>
      </c>
      <c r="H6" s="29">
        <v>50000</v>
      </c>
      <c r="I6" s="28" t="s">
        <v>39</v>
      </c>
      <c r="J6" s="29">
        <v>50000</v>
      </c>
      <c r="K6" s="29">
        <v>1</v>
      </c>
      <c r="L6" s="28" t="s">
        <v>93</v>
      </c>
      <c r="M6" s="28" t="s">
        <v>123</v>
      </c>
      <c r="N6" s="28" t="s">
        <v>95</v>
      </c>
      <c r="O6" s="28" t="s">
        <v>96</v>
      </c>
      <c r="P6" s="28" t="s">
        <v>97</v>
      </c>
      <c r="Q6" s="28" t="s">
        <v>98</v>
      </c>
      <c r="R6" s="28" t="s">
        <v>98</v>
      </c>
      <c r="S6" s="28" t="s">
        <v>99</v>
      </c>
      <c r="T6" s="28" t="s">
        <v>124</v>
      </c>
      <c r="U6" s="28" t="s">
        <v>125</v>
      </c>
      <c r="V6" s="28" t="s">
        <v>126</v>
      </c>
      <c r="W6" s="28" t="s">
        <v>127</v>
      </c>
      <c r="X6" s="28" t="s">
        <v>104</v>
      </c>
    </row>
    <row r="7" spans="1:24" s="30" customFormat="1" ht="63" x14ac:dyDescent="0.25">
      <c r="A7" s="28" t="s">
        <v>128</v>
      </c>
      <c r="B7" s="35">
        <v>5</v>
      </c>
      <c r="C7" s="28" t="s">
        <v>39</v>
      </c>
      <c r="D7" s="28" t="s">
        <v>42</v>
      </c>
      <c r="E7" s="28" t="s">
        <v>5</v>
      </c>
      <c r="F7" s="28" t="s">
        <v>129</v>
      </c>
      <c r="G7" s="28" t="s">
        <v>130</v>
      </c>
      <c r="H7" s="29">
        <v>60000</v>
      </c>
      <c r="I7" s="28" t="s">
        <v>39</v>
      </c>
      <c r="J7" s="29">
        <v>60000</v>
      </c>
      <c r="K7" s="29">
        <v>1</v>
      </c>
      <c r="L7" s="28" t="s">
        <v>93</v>
      </c>
      <c r="M7" s="28" t="s">
        <v>131</v>
      </c>
      <c r="N7" s="28" t="s">
        <v>95</v>
      </c>
      <c r="O7" s="28" t="s">
        <v>96</v>
      </c>
      <c r="P7" s="28" t="s">
        <v>97</v>
      </c>
      <c r="Q7" s="28" t="s">
        <v>98</v>
      </c>
      <c r="R7" s="28" t="s">
        <v>98</v>
      </c>
      <c r="S7" s="28" t="s">
        <v>99</v>
      </c>
      <c r="T7" s="28" t="s">
        <v>132</v>
      </c>
      <c r="U7" s="28" t="s">
        <v>133</v>
      </c>
      <c r="V7" s="28" t="s">
        <v>134</v>
      </c>
      <c r="W7" s="28" t="s">
        <v>135</v>
      </c>
      <c r="X7" s="28" t="s">
        <v>104</v>
      </c>
    </row>
    <row r="8" spans="1:24" s="30" customFormat="1" ht="63" x14ac:dyDescent="0.25">
      <c r="A8" s="28" t="s">
        <v>136</v>
      </c>
      <c r="B8" s="35">
        <v>6</v>
      </c>
      <c r="C8" s="28" t="s">
        <v>39</v>
      </c>
      <c r="D8" s="28" t="s">
        <v>42</v>
      </c>
      <c r="E8" s="28" t="s">
        <v>5</v>
      </c>
      <c r="F8" s="28" t="s">
        <v>137</v>
      </c>
      <c r="G8" s="28" t="s">
        <v>138</v>
      </c>
      <c r="H8" s="29">
        <v>75000</v>
      </c>
      <c r="I8" s="28" t="s">
        <v>39</v>
      </c>
      <c r="J8" s="29">
        <v>75000</v>
      </c>
      <c r="K8" s="29">
        <v>1</v>
      </c>
      <c r="L8" s="28" t="s">
        <v>93</v>
      </c>
      <c r="M8" s="28" t="s">
        <v>139</v>
      </c>
      <c r="N8" s="28" t="s">
        <v>95</v>
      </c>
      <c r="O8" s="28" t="s">
        <v>96</v>
      </c>
      <c r="P8" s="28" t="s">
        <v>97</v>
      </c>
      <c r="Q8" s="28" t="s">
        <v>98</v>
      </c>
      <c r="R8" s="28" t="s">
        <v>98</v>
      </c>
      <c r="S8" s="28" t="s">
        <v>99</v>
      </c>
      <c r="T8" s="28" t="s">
        <v>140</v>
      </c>
      <c r="U8" s="28" t="s">
        <v>141</v>
      </c>
      <c r="V8" s="28" t="s">
        <v>142</v>
      </c>
      <c r="W8" s="28" t="s">
        <v>143</v>
      </c>
      <c r="X8" s="28" t="s">
        <v>104</v>
      </c>
    </row>
    <row r="9" spans="1:24" s="30" customFormat="1" ht="94.5" x14ac:dyDescent="0.25">
      <c r="A9" s="28" t="s">
        <v>144</v>
      </c>
      <c r="B9" s="35">
        <v>7</v>
      </c>
      <c r="C9" s="28" t="s">
        <v>39</v>
      </c>
      <c r="D9" s="28" t="s">
        <v>42</v>
      </c>
      <c r="E9" s="28" t="s">
        <v>5</v>
      </c>
      <c r="F9" s="28" t="s">
        <v>145</v>
      </c>
      <c r="G9" s="28" t="s">
        <v>146</v>
      </c>
      <c r="H9" s="29">
        <v>90000</v>
      </c>
      <c r="I9" s="28" t="s">
        <v>39</v>
      </c>
      <c r="J9" s="29" t="s">
        <v>39</v>
      </c>
      <c r="K9" s="29">
        <v>1</v>
      </c>
      <c r="L9" s="28" t="s">
        <v>93</v>
      </c>
      <c r="M9" s="28" t="s">
        <v>147</v>
      </c>
      <c r="N9" s="28" t="s">
        <v>95</v>
      </c>
      <c r="O9" s="28" t="s">
        <v>96</v>
      </c>
      <c r="P9" s="28" t="s">
        <v>97</v>
      </c>
      <c r="Q9" s="28" t="s">
        <v>98</v>
      </c>
      <c r="R9" s="28" t="s">
        <v>98</v>
      </c>
      <c r="S9" s="28" t="s">
        <v>99</v>
      </c>
      <c r="T9" s="28" t="s">
        <v>148</v>
      </c>
      <c r="U9" s="28" t="s">
        <v>149</v>
      </c>
      <c r="V9" s="28" t="s">
        <v>150</v>
      </c>
      <c r="W9" s="31" t="s">
        <v>151</v>
      </c>
      <c r="X9" s="28" t="s">
        <v>104</v>
      </c>
    </row>
    <row r="10" spans="1:24" s="30" customFormat="1" ht="110.25" x14ac:dyDescent="0.25">
      <c r="A10" s="28" t="s">
        <v>152</v>
      </c>
      <c r="B10" s="35">
        <v>8</v>
      </c>
      <c r="C10" s="28" t="s">
        <v>39</v>
      </c>
      <c r="D10" s="28" t="s">
        <v>42</v>
      </c>
      <c r="E10" s="28" t="s">
        <v>5</v>
      </c>
      <c r="F10" s="28" t="s">
        <v>44</v>
      </c>
      <c r="G10" s="28" t="s">
        <v>153</v>
      </c>
      <c r="H10" s="29">
        <v>110000</v>
      </c>
      <c r="I10" s="28" t="s">
        <v>39</v>
      </c>
      <c r="J10" s="29">
        <v>110000</v>
      </c>
      <c r="K10" s="29">
        <v>1</v>
      </c>
      <c r="L10" s="28" t="s">
        <v>93</v>
      </c>
      <c r="M10" s="28" t="s">
        <v>154</v>
      </c>
      <c r="N10" s="28" t="s">
        <v>95</v>
      </c>
      <c r="O10" s="28" t="s">
        <v>96</v>
      </c>
      <c r="P10" s="28" t="s">
        <v>97</v>
      </c>
      <c r="Q10" s="28" t="s">
        <v>98</v>
      </c>
      <c r="R10" s="28" t="s">
        <v>98</v>
      </c>
      <c r="S10" s="28" t="s">
        <v>99</v>
      </c>
      <c r="T10" s="28" t="s">
        <v>155</v>
      </c>
      <c r="U10" s="28" t="s">
        <v>156</v>
      </c>
      <c r="V10" s="28" t="s">
        <v>157</v>
      </c>
      <c r="W10" s="28" t="s">
        <v>158</v>
      </c>
      <c r="X10" s="28" t="s">
        <v>104</v>
      </c>
    </row>
    <row r="11" spans="1:24" s="30" customFormat="1" ht="126" x14ac:dyDescent="0.25">
      <c r="A11" s="28" t="s">
        <v>159</v>
      </c>
      <c r="B11" s="35">
        <v>9</v>
      </c>
      <c r="C11" s="28" t="s">
        <v>39</v>
      </c>
      <c r="D11" s="28" t="s">
        <v>40</v>
      </c>
      <c r="E11" s="28" t="s">
        <v>5</v>
      </c>
      <c r="F11" s="28" t="s">
        <v>45</v>
      </c>
      <c r="G11" s="28" t="s">
        <v>160</v>
      </c>
      <c r="H11" s="29">
        <v>15000</v>
      </c>
      <c r="I11" s="28" t="s">
        <v>39</v>
      </c>
      <c r="J11" s="29">
        <v>15000</v>
      </c>
      <c r="K11" s="29">
        <v>1</v>
      </c>
      <c r="L11" s="28" t="s">
        <v>161</v>
      </c>
      <c r="M11" s="28" t="s">
        <v>162</v>
      </c>
      <c r="N11" s="28" t="s">
        <v>163</v>
      </c>
      <c r="O11" s="28" t="s">
        <v>164</v>
      </c>
      <c r="P11" s="28" t="s">
        <v>97</v>
      </c>
      <c r="Q11" s="28" t="s">
        <v>98</v>
      </c>
      <c r="R11" s="28" t="s">
        <v>98</v>
      </c>
      <c r="S11" s="28" t="s">
        <v>163</v>
      </c>
      <c r="T11" s="28" t="s">
        <v>165</v>
      </c>
      <c r="U11" s="28" t="s">
        <v>166</v>
      </c>
      <c r="V11" s="28" t="s">
        <v>167</v>
      </c>
      <c r="W11" s="28" t="s">
        <v>168</v>
      </c>
      <c r="X11" s="28" t="s">
        <v>104</v>
      </c>
    </row>
    <row r="12" spans="1:24" s="30" customFormat="1" ht="110.25" x14ac:dyDescent="0.25">
      <c r="A12" s="28" t="s">
        <v>169</v>
      </c>
      <c r="B12" s="35">
        <v>10</v>
      </c>
      <c r="C12" s="28" t="s">
        <v>39</v>
      </c>
      <c r="D12" s="28" t="s">
        <v>40</v>
      </c>
      <c r="E12" s="28" t="s">
        <v>5</v>
      </c>
      <c r="F12" s="28" t="s">
        <v>46</v>
      </c>
      <c r="G12" s="28" t="s">
        <v>170</v>
      </c>
      <c r="H12" s="29">
        <v>25000</v>
      </c>
      <c r="I12" s="28" t="s">
        <v>39</v>
      </c>
      <c r="J12" s="29">
        <v>25000</v>
      </c>
      <c r="K12" s="29">
        <v>1</v>
      </c>
      <c r="L12" s="28" t="s">
        <v>161</v>
      </c>
      <c r="M12" s="28" t="s">
        <v>171</v>
      </c>
      <c r="N12" s="28" t="s">
        <v>163</v>
      </c>
      <c r="O12" s="28" t="s">
        <v>172</v>
      </c>
      <c r="P12" s="28" t="s">
        <v>97</v>
      </c>
      <c r="Q12" s="28" t="s">
        <v>98</v>
      </c>
      <c r="R12" s="28" t="s">
        <v>98</v>
      </c>
      <c r="S12" s="28" t="s">
        <v>163</v>
      </c>
      <c r="T12" s="28" t="s">
        <v>173</v>
      </c>
      <c r="U12" s="28" t="s">
        <v>174</v>
      </c>
      <c r="V12" s="28" t="s">
        <v>175</v>
      </c>
      <c r="W12" s="28" t="s">
        <v>176</v>
      </c>
      <c r="X12" s="28" t="s">
        <v>104</v>
      </c>
    </row>
    <row r="13" spans="1:24" s="30" customFormat="1" ht="94.5" x14ac:dyDescent="0.25">
      <c r="A13" s="28" t="s">
        <v>177</v>
      </c>
      <c r="B13" s="35">
        <v>11</v>
      </c>
      <c r="C13" s="28" t="s">
        <v>39</v>
      </c>
      <c r="D13" s="28" t="s">
        <v>40</v>
      </c>
      <c r="E13" s="28" t="s">
        <v>5</v>
      </c>
      <c r="F13" s="28" t="s">
        <v>178</v>
      </c>
      <c r="G13" s="28" t="s">
        <v>179</v>
      </c>
      <c r="H13" s="29">
        <v>35000</v>
      </c>
      <c r="I13" s="28" t="s">
        <v>39</v>
      </c>
      <c r="J13" s="29">
        <v>35000</v>
      </c>
      <c r="K13" s="29">
        <v>1</v>
      </c>
      <c r="L13" s="28" t="s">
        <v>161</v>
      </c>
      <c r="M13" s="28" t="s">
        <v>180</v>
      </c>
      <c r="N13" s="28" t="s">
        <v>163</v>
      </c>
      <c r="O13" s="28" t="s">
        <v>172</v>
      </c>
      <c r="P13" s="28" t="s">
        <v>97</v>
      </c>
      <c r="Q13" s="28" t="s">
        <v>98</v>
      </c>
      <c r="R13" s="28" t="s">
        <v>98</v>
      </c>
      <c r="S13" s="28" t="s">
        <v>181</v>
      </c>
      <c r="T13" s="28" t="s">
        <v>182</v>
      </c>
      <c r="U13" s="28" t="s">
        <v>183</v>
      </c>
      <c r="V13" s="28" t="s">
        <v>184</v>
      </c>
      <c r="W13" s="28" t="s">
        <v>185</v>
      </c>
      <c r="X13" s="28" t="s">
        <v>104</v>
      </c>
    </row>
    <row r="14" spans="1:24" s="30" customFormat="1" ht="94.5" x14ac:dyDescent="0.25">
      <c r="A14" s="28" t="s">
        <v>186</v>
      </c>
      <c r="B14" s="35">
        <v>12</v>
      </c>
      <c r="C14" s="28" t="s">
        <v>39</v>
      </c>
      <c r="D14" s="28" t="s">
        <v>40</v>
      </c>
      <c r="E14" s="28" t="s">
        <v>5</v>
      </c>
      <c r="F14" s="28" t="s">
        <v>187</v>
      </c>
      <c r="G14" s="28" t="s">
        <v>188</v>
      </c>
      <c r="H14" s="29">
        <v>50000</v>
      </c>
      <c r="I14" s="28" t="s">
        <v>39</v>
      </c>
      <c r="J14" s="29">
        <v>50000</v>
      </c>
      <c r="K14" s="29">
        <v>1</v>
      </c>
      <c r="L14" s="28" t="s">
        <v>161</v>
      </c>
      <c r="M14" s="28" t="s">
        <v>189</v>
      </c>
      <c r="N14" s="28" t="s">
        <v>163</v>
      </c>
      <c r="O14" s="28" t="s">
        <v>172</v>
      </c>
      <c r="P14" s="28" t="s">
        <v>97</v>
      </c>
      <c r="Q14" s="28" t="s">
        <v>98</v>
      </c>
      <c r="R14" s="28" t="s">
        <v>98</v>
      </c>
      <c r="S14" s="28" t="s">
        <v>181</v>
      </c>
      <c r="T14" s="28" t="s">
        <v>190</v>
      </c>
      <c r="U14" s="28" t="s">
        <v>191</v>
      </c>
      <c r="V14" s="28" t="s">
        <v>192</v>
      </c>
      <c r="W14" s="28" t="s">
        <v>193</v>
      </c>
      <c r="X14" s="28" t="s">
        <v>104</v>
      </c>
    </row>
    <row r="15" spans="1:24" s="30" customFormat="1" ht="94.5" x14ac:dyDescent="0.25">
      <c r="A15" s="28" t="s">
        <v>194</v>
      </c>
      <c r="B15" s="35">
        <v>13</v>
      </c>
      <c r="C15" s="28" t="s">
        <v>39</v>
      </c>
      <c r="D15" s="28" t="s">
        <v>40</v>
      </c>
      <c r="E15" s="28" t="s">
        <v>5</v>
      </c>
      <c r="F15" s="28" t="s">
        <v>195</v>
      </c>
      <c r="G15" s="28" t="s">
        <v>196</v>
      </c>
      <c r="H15" s="29">
        <v>65000</v>
      </c>
      <c r="I15" s="28" t="s">
        <v>39</v>
      </c>
      <c r="J15" s="29">
        <v>65000</v>
      </c>
      <c r="K15" s="29">
        <v>1</v>
      </c>
      <c r="L15" s="28" t="s">
        <v>161</v>
      </c>
      <c r="M15" s="28" t="s">
        <v>197</v>
      </c>
      <c r="N15" s="28" t="s">
        <v>163</v>
      </c>
      <c r="O15" s="28" t="s">
        <v>172</v>
      </c>
      <c r="P15" s="28" t="s">
        <v>97</v>
      </c>
      <c r="Q15" s="28" t="s">
        <v>98</v>
      </c>
      <c r="R15" s="28" t="s">
        <v>98</v>
      </c>
      <c r="S15" s="28" t="s">
        <v>198</v>
      </c>
      <c r="T15" s="28" t="s">
        <v>199</v>
      </c>
      <c r="U15" s="28" t="s">
        <v>200</v>
      </c>
      <c r="V15" s="28" t="s">
        <v>201</v>
      </c>
      <c r="W15" s="28" t="s">
        <v>202</v>
      </c>
      <c r="X15" s="28" t="s">
        <v>104</v>
      </c>
    </row>
    <row r="16" spans="1:24" s="30" customFormat="1" ht="94.5" x14ac:dyDescent="0.25">
      <c r="A16" s="28" t="s">
        <v>203</v>
      </c>
      <c r="B16" s="35">
        <v>14</v>
      </c>
      <c r="C16" s="28" t="s">
        <v>39</v>
      </c>
      <c r="D16" s="28" t="s">
        <v>40</v>
      </c>
      <c r="E16" s="28" t="s">
        <v>5</v>
      </c>
      <c r="F16" s="28" t="s">
        <v>204</v>
      </c>
      <c r="G16" s="28" t="s">
        <v>205</v>
      </c>
      <c r="H16" s="29">
        <v>80000</v>
      </c>
      <c r="I16" s="28" t="s">
        <v>39</v>
      </c>
      <c r="J16" s="29">
        <v>80000</v>
      </c>
      <c r="K16" s="29">
        <v>1</v>
      </c>
      <c r="L16" s="28" t="s">
        <v>161</v>
      </c>
      <c r="M16" s="28" t="s">
        <v>206</v>
      </c>
      <c r="N16" s="28" t="s">
        <v>163</v>
      </c>
      <c r="O16" s="28" t="s">
        <v>172</v>
      </c>
      <c r="P16" s="28" t="s">
        <v>97</v>
      </c>
      <c r="Q16" s="28" t="s">
        <v>98</v>
      </c>
      <c r="R16" s="28" t="s">
        <v>98</v>
      </c>
      <c r="S16" s="28" t="s">
        <v>207</v>
      </c>
      <c r="T16" s="28" t="s">
        <v>208</v>
      </c>
      <c r="U16" s="28" t="s">
        <v>209</v>
      </c>
      <c r="V16" s="28" t="s">
        <v>210</v>
      </c>
      <c r="W16" s="28" t="s">
        <v>211</v>
      </c>
      <c r="X16" s="28" t="s">
        <v>104</v>
      </c>
    </row>
    <row r="17" spans="1:24" s="30" customFormat="1" ht="78.75" x14ac:dyDescent="0.25">
      <c r="A17" s="28" t="s">
        <v>212</v>
      </c>
      <c r="B17" s="35">
        <v>15</v>
      </c>
      <c r="C17" s="28" t="s">
        <v>39</v>
      </c>
      <c r="D17" s="28" t="s">
        <v>40</v>
      </c>
      <c r="E17" s="28" t="s">
        <v>5</v>
      </c>
      <c r="F17" s="28" t="s">
        <v>213</v>
      </c>
      <c r="G17" s="28" t="s">
        <v>214</v>
      </c>
      <c r="H17" s="29">
        <v>100000</v>
      </c>
      <c r="I17" s="28" t="s">
        <v>39</v>
      </c>
      <c r="J17" s="29">
        <v>100000</v>
      </c>
      <c r="K17" s="29">
        <v>1</v>
      </c>
      <c r="L17" s="28" t="s">
        <v>161</v>
      </c>
      <c r="M17" s="28" t="s">
        <v>215</v>
      </c>
      <c r="N17" s="28" t="s">
        <v>163</v>
      </c>
      <c r="O17" s="28" t="s">
        <v>172</v>
      </c>
      <c r="P17" s="28" t="s">
        <v>97</v>
      </c>
      <c r="Q17" s="28" t="s">
        <v>98</v>
      </c>
      <c r="R17" s="28" t="s">
        <v>98</v>
      </c>
      <c r="S17" s="28" t="s">
        <v>216</v>
      </c>
      <c r="T17" s="28" t="s">
        <v>217</v>
      </c>
      <c r="U17" s="28" t="s">
        <v>218</v>
      </c>
      <c r="V17" s="28" t="s">
        <v>219</v>
      </c>
      <c r="W17" s="28" t="s">
        <v>220</v>
      </c>
      <c r="X17" s="28" t="s">
        <v>104</v>
      </c>
    </row>
    <row r="18" spans="1:24" s="30" customFormat="1" ht="78.75" x14ac:dyDescent="0.25">
      <c r="A18" s="28" t="s">
        <v>221</v>
      </c>
      <c r="B18" s="35">
        <v>16</v>
      </c>
      <c r="C18" s="28" t="s">
        <v>39</v>
      </c>
      <c r="D18" s="28" t="s">
        <v>40</v>
      </c>
      <c r="E18" s="28" t="s">
        <v>5</v>
      </c>
      <c r="F18" s="28" t="s">
        <v>222</v>
      </c>
      <c r="G18" s="28" t="s">
        <v>223</v>
      </c>
      <c r="H18" s="29">
        <v>125000</v>
      </c>
      <c r="I18" s="28" t="s">
        <v>39</v>
      </c>
      <c r="J18" s="29">
        <v>125000</v>
      </c>
      <c r="K18" s="29">
        <v>1</v>
      </c>
      <c r="L18" s="28" t="s">
        <v>161</v>
      </c>
      <c r="M18" s="28" t="s">
        <v>224</v>
      </c>
      <c r="N18" s="28" t="s">
        <v>163</v>
      </c>
      <c r="O18" s="28" t="s">
        <v>172</v>
      </c>
      <c r="P18" s="28" t="s">
        <v>97</v>
      </c>
      <c r="Q18" s="28" t="s">
        <v>98</v>
      </c>
      <c r="R18" s="28" t="s">
        <v>98</v>
      </c>
      <c r="S18" s="28" t="s">
        <v>216</v>
      </c>
      <c r="T18" s="28" t="s">
        <v>225</v>
      </c>
      <c r="U18" s="28" t="s">
        <v>226</v>
      </c>
      <c r="V18" s="28" t="s">
        <v>227</v>
      </c>
      <c r="W18" s="28" t="s">
        <v>228</v>
      </c>
      <c r="X18" s="28" t="s">
        <v>104</v>
      </c>
    </row>
    <row r="19" spans="1:24" s="34" customFormat="1" ht="94.5" x14ac:dyDescent="0.25">
      <c r="A19" s="32" t="s">
        <v>229</v>
      </c>
      <c r="B19" s="36">
        <v>1</v>
      </c>
      <c r="C19" s="32" t="s">
        <v>230</v>
      </c>
      <c r="D19" s="32" t="s">
        <v>83</v>
      </c>
      <c r="E19" s="32" t="s">
        <v>231</v>
      </c>
      <c r="F19" s="32" t="s">
        <v>232</v>
      </c>
      <c r="G19" s="32" t="s">
        <v>233</v>
      </c>
      <c r="H19" s="33">
        <v>18000</v>
      </c>
      <c r="I19" s="32" t="s">
        <v>84</v>
      </c>
      <c r="J19" s="33">
        <v>18000</v>
      </c>
      <c r="K19" s="33">
        <v>1</v>
      </c>
      <c r="L19" s="32" t="s">
        <v>85</v>
      </c>
      <c r="M19" s="32" t="s">
        <v>234</v>
      </c>
      <c r="N19" s="32" t="s">
        <v>95</v>
      </c>
      <c r="O19" s="32" t="s">
        <v>235</v>
      </c>
      <c r="P19" s="32" t="s">
        <v>236</v>
      </c>
      <c r="Q19" s="32" t="s">
        <v>98</v>
      </c>
      <c r="R19" s="32" t="s">
        <v>98</v>
      </c>
      <c r="S19" s="32" t="s">
        <v>237</v>
      </c>
      <c r="T19" s="32" t="s">
        <v>238</v>
      </c>
      <c r="U19" s="32" t="s">
        <v>239</v>
      </c>
      <c r="V19" s="32" t="s">
        <v>240</v>
      </c>
      <c r="W19" s="32" t="s">
        <v>241</v>
      </c>
      <c r="X19" s="32" t="s">
        <v>104</v>
      </c>
    </row>
    <row r="20" spans="1:24" s="34" customFormat="1" ht="94.5" x14ac:dyDescent="0.25">
      <c r="A20" s="32" t="s">
        <v>242</v>
      </c>
      <c r="B20" s="36">
        <v>2</v>
      </c>
      <c r="C20" s="32" t="s">
        <v>230</v>
      </c>
      <c r="D20" s="32" t="s">
        <v>83</v>
      </c>
      <c r="E20" s="32" t="s">
        <v>231</v>
      </c>
      <c r="F20" s="32" t="s">
        <v>243</v>
      </c>
      <c r="G20" s="32" t="s">
        <v>233</v>
      </c>
      <c r="H20" s="33">
        <v>24000</v>
      </c>
      <c r="I20" s="32" t="s">
        <v>84</v>
      </c>
      <c r="J20" s="33">
        <v>24000</v>
      </c>
      <c r="K20" s="33">
        <v>1</v>
      </c>
      <c r="L20" s="32" t="s">
        <v>85</v>
      </c>
      <c r="M20" s="32" t="s">
        <v>244</v>
      </c>
      <c r="N20" s="32" t="s">
        <v>95</v>
      </c>
      <c r="O20" s="32" t="s">
        <v>235</v>
      </c>
      <c r="P20" s="32" t="s">
        <v>236</v>
      </c>
      <c r="Q20" s="32" t="s">
        <v>98</v>
      </c>
      <c r="R20" s="32" t="s">
        <v>98</v>
      </c>
      <c r="S20" s="32" t="s">
        <v>237</v>
      </c>
      <c r="T20" s="32" t="s">
        <v>245</v>
      </c>
      <c r="U20" s="32" t="s">
        <v>246</v>
      </c>
      <c r="V20" s="32" t="s">
        <v>247</v>
      </c>
      <c r="W20" s="32" t="s">
        <v>248</v>
      </c>
      <c r="X20" s="32" t="s">
        <v>104</v>
      </c>
    </row>
    <row r="21" spans="1:24" s="34" customFormat="1" ht="110.25" x14ac:dyDescent="0.25">
      <c r="A21" s="32" t="s">
        <v>249</v>
      </c>
      <c r="B21" s="36">
        <v>3</v>
      </c>
      <c r="C21" s="32" t="s">
        <v>230</v>
      </c>
      <c r="D21" s="32" t="s">
        <v>83</v>
      </c>
      <c r="E21" s="32" t="s">
        <v>231</v>
      </c>
      <c r="F21" s="32" t="s">
        <v>250</v>
      </c>
      <c r="G21" s="32" t="s">
        <v>251</v>
      </c>
      <c r="H21" s="33">
        <v>32000</v>
      </c>
      <c r="I21" s="32" t="s">
        <v>84</v>
      </c>
      <c r="J21" s="33">
        <v>32000</v>
      </c>
      <c r="K21" s="33">
        <v>1</v>
      </c>
      <c r="L21" s="32" t="s">
        <v>85</v>
      </c>
      <c r="M21" s="32" t="s">
        <v>252</v>
      </c>
      <c r="N21" s="32" t="s">
        <v>95</v>
      </c>
      <c r="O21" s="32" t="s">
        <v>235</v>
      </c>
      <c r="P21" s="32" t="s">
        <v>236</v>
      </c>
      <c r="Q21" s="32" t="s">
        <v>98</v>
      </c>
      <c r="R21" s="32" t="s">
        <v>98</v>
      </c>
      <c r="S21" s="32" t="s">
        <v>253</v>
      </c>
      <c r="T21" s="32" t="s">
        <v>254</v>
      </c>
      <c r="U21" s="32" t="s">
        <v>255</v>
      </c>
      <c r="V21" s="32" t="s">
        <v>256</v>
      </c>
      <c r="W21" s="32" t="s">
        <v>257</v>
      </c>
      <c r="X21" s="32" t="s">
        <v>104</v>
      </c>
    </row>
    <row r="22" spans="1:24" s="34" customFormat="1" ht="94.5" x14ac:dyDescent="0.25">
      <c r="A22" s="32" t="s">
        <v>258</v>
      </c>
      <c r="B22" s="36">
        <v>4</v>
      </c>
      <c r="C22" s="32" t="s">
        <v>230</v>
      </c>
      <c r="D22" s="32" t="s">
        <v>86</v>
      </c>
      <c r="E22" s="32" t="s">
        <v>231</v>
      </c>
      <c r="F22" s="32" t="s">
        <v>259</v>
      </c>
      <c r="G22" s="32" t="s">
        <v>260</v>
      </c>
      <c r="H22" s="33">
        <v>30000</v>
      </c>
      <c r="I22" s="32" t="s">
        <v>84</v>
      </c>
      <c r="J22" s="33">
        <v>30000</v>
      </c>
      <c r="K22" s="33">
        <v>1</v>
      </c>
      <c r="L22" s="32" t="s">
        <v>87</v>
      </c>
      <c r="M22" s="32" t="s">
        <v>261</v>
      </c>
      <c r="N22" s="32" t="s">
        <v>95</v>
      </c>
      <c r="O22" s="32" t="s">
        <v>235</v>
      </c>
      <c r="P22" s="32" t="s">
        <v>236</v>
      </c>
      <c r="Q22" s="32" t="s">
        <v>98</v>
      </c>
      <c r="R22" s="32" t="s">
        <v>98</v>
      </c>
      <c r="S22" s="32" t="s">
        <v>262</v>
      </c>
      <c r="T22" s="32" t="s">
        <v>263</v>
      </c>
      <c r="U22" s="32" t="s">
        <v>264</v>
      </c>
      <c r="V22" s="32" t="s">
        <v>265</v>
      </c>
      <c r="W22" s="32" t="s">
        <v>266</v>
      </c>
      <c r="X22" s="32" t="s">
        <v>104</v>
      </c>
    </row>
    <row r="23" spans="1:24" s="34" customFormat="1" ht="94.5" x14ac:dyDescent="0.25">
      <c r="A23" s="32" t="s">
        <v>267</v>
      </c>
      <c r="B23" s="36">
        <v>5</v>
      </c>
      <c r="C23" s="32" t="s">
        <v>230</v>
      </c>
      <c r="D23" s="32" t="s">
        <v>86</v>
      </c>
      <c r="E23" s="32" t="s">
        <v>231</v>
      </c>
      <c r="F23" s="32" t="s">
        <v>88</v>
      </c>
      <c r="G23" s="32" t="s">
        <v>268</v>
      </c>
      <c r="H23" s="33">
        <v>40000</v>
      </c>
      <c r="I23" s="32" t="s">
        <v>84</v>
      </c>
      <c r="J23" s="33">
        <v>40000</v>
      </c>
      <c r="K23" s="33">
        <v>1</v>
      </c>
      <c r="L23" s="32" t="s">
        <v>87</v>
      </c>
      <c r="M23" s="32" t="s">
        <v>269</v>
      </c>
      <c r="N23" s="32" t="s">
        <v>95</v>
      </c>
      <c r="O23" s="32" t="s">
        <v>235</v>
      </c>
      <c r="P23" s="32" t="s">
        <v>236</v>
      </c>
      <c r="Q23" s="32" t="s">
        <v>98</v>
      </c>
      <c r="R23" s="32" t="s">
        <v>98</v>
      </c>
      <c r="S23" s="32" t="s">
        <v>270</v>
      </c>
      <c r="T23" s="32" t="s">
        <v>271</v>
      </c>
      <c r="U23" s="32" t="s">
        <v>272</v>
      </c>
      <c r="V23" s="32" t="s">
        <v>273</v>
      </c>
      <c r="W23" s="32" t="s">
        <v>274</v>
      </c>
      <c r="X23" s="32" t="s">
        <v>104</v>
      </c>
    </row>
    <row r="24" spans="1:24" s="34" customFormat="1" ht="78.75" x14ac:dyDescent="0.25">
      <c r="A24" s="32" t="s">
        <v>275</v>
      </c>
      <c r="B24" s="36">
        <v>6</v>
      </c>
      <c r="C24" s="32" t="s">
        <v>230</v>
      </c>
      <c r="D24" s="32" t="s">
        <v>86</v>
      </c>
      <c r="E24" s="32" t="s">
        <v>231</v>
      </c>
      <c r="F24" s="32" t="s">
        <v>89</v>
      </c>
      <c r="G24" s="32" t="s">
        <v>276</v>
      </c>
      <c r="H24" s="33">
        <v>60000</v>
      </c>
      <c r="I24" s="32" t="s">
        <v>84</v>
      </c>
      <c r="J24" s="33">
        <v>60000</v>
      </c>
      <c r="K24" s="33">
        <v>1</v>
      </c>
      <c r="L24" s="32" t="s">
        <v>87</v>
      </c>
      <c r="M24" s="32" t="s">
        <v>277</v>
      </c>
      <c r="N24" s="32" t="s">
        <v>95</v>
      </c>
      <c r="O24" s="32" t="s">
        <v>235</v>
      </c>
      <c r="P24" s="32" t="s">
        <v>236</v>
      </c>
      <c r="Q24" s="32" t="s">
        <v>98</v>
      </c>
      <c r="R24" s="32" t="s">
        <v>98</v>
      </c>
      <c r="S24" s="32" t="s">
        <v>278</v>
      </c>
      <c r="T24" s="32" t="s">
        <v>279</v>
      </c>
      <c r="U24" s="32" t="s">
        <v>280</v>
      </c>
      <c r="V24" s="32" t="s">
        <v>281</v>
      </c>
      <c r="W24" s="32" t="s">
        <v>282</v>
      </c>
      <c r="X24" s="32" t="s">
        <v>104</v>
      </c>
    </row>
    <row r="25" spans="1:24" s="34" customFormat="1" ht="110.25" x14ac:dyDescent="0.25">
      <c r="A25" s="32" t="s">
        <v>283</v>
      </c>
      <c r="B25" s="36">
        <v>7</v>
      </c>
      <c r="C25" s="32" t="s">
        <v>230</v>
      </c>
      <c r="D25" s="32" t="s">
        <v>86</v>
      </c>
      <c r="E25" s="32" t="s">
        <v>231</v>
      </c>
      <c r="F25" s="32" t="s">
        <v>284</v>
      </c>
      <c r="G25" s="32" t="s">
        <v>285</v>
      </c>
      <c r="H25" s="33">
        <v>85000</v>
      </c>
      <c r="I25" s="32" t="s">
        <v>84</v>
      </c>
      <c r="J25" s="33">
        <v>85000</v>
      </c>
      <c r="K25" s="33">
        <v>1</v>
      </c>
      <c r="L25" s="32" t="s">
        <v>87</v>
      </c>
      <c r="M25" s="32" t="s">
        <v>286</v>
      </c>
      <c r="N25" s="32" t="s">
        <v>95</v>
      </c>
      <c r="O25" s="32" t="s">
        <v>235</v>
      </c>
      <c r="P25" s="32" t="s">
        <v>236</v>
      </c>
      <c r="Q25" s="32" t="s">
        <v>98</v>
      </c>
      <c r="R25" s="32" t="s">
        <v>98</v>
      </c>
      <c r="S25" s="32" t="s">
        <v>287</v>
      </c>
      <c r="T25" s="32" t="s">
        <v>288</v>
      </c>
      <c r="U25" s="32" t="s">
        <v>289</v>
      </c>
      <c r="V25" s="32" t="s">
        <v>290</v>
      </c>
      <c r="W25" s="32" t="s">
        <v>291</v>
      </c>
      <c r="X25" s="32" t="s">
        <v>104</v>
      </c>
    </row>
    <row r="26" spans="1:24" s="34" customFormat="1" ht="110.25" x14ac:dyDescent="0.25">
      <c r="A26" s="32" t="s">
        <v>292</v>
      </c>
      <c r="B26" s="36">
        <v>8</v>
      </c>
      <c r="C26" s="32" t="s">
        <v>230</v>
      </c>
      <c r="D26" s="32" t="s">
        <v>293</v>
      </c>
      <c r="E26" s="32" t="s">
        <v>231</v>
      </c>
      <c r="F26" s="32" t="s">
        <v>294</v>
      </c>
      <c r="G26" s="32" t="s">
        <v>295</v>
      </c>
      <c r="H26" s="33">
        <v>120000</v>
      </c>
      <c r="I26" s="32" t="s">
        <v>84</v>
      </c>
      <c r="J26" s="33">
        <v>120000</v>
      </c>
      <c r="K26" s="33">
        <v>1</v>
      </c>
      <c r="L26" s="32" t="s">
        <v>296</v>
      </c>
      <c r="M26" s="32" t="s">
        <v>297</v>
      </c>
      <c r="N26" s="32" t="s">
        <v>95</v>
      </c>
      <c r="O26" s="32" t="s">
        <v>235</v>
      </c>
      <c r="P26" s="32" t="s">
        <v>236</v>
      </c>
      <c r="Q26" s="32" t="s">
        <v>98</v>
      </c>
      <c r="R26" s="32" t="s">
        <v>98</v>
      </c>
      <c r="S26" s="32" t="s">
        <v>298</v>
      </c>
      <c r="T26" s="32" t="s">
        <v>299</v>
      </c>
      <c r="U26" s="32" t="s">
        <v>300</v>
      </c>
      <c r="V26" s="32" t="s">
        <v>301</v>
      </c>
      <c r="W26" s="32" t="s">
        <v>302</v>
      </c>
      <c r="X26" s="32" t="s">
        <v>104</v>
      </c>
    </row>
    <row r="27" spans="1:24" s="34" customFormat="1" ht="110.25" x14ac:dyDescent="0.25">
      <c r="A27" s="32" t="s">
        <v>303</v>
      </c>
      <c r="B27" s="36">
        <v>9</v>
      </c>
      <c r="C27" s="32" t="s">
        <v>230</v>
      </c>
      <c r="D27" s="32" t="s">
        <v>293</v>
      </c>
      <c r="E27" s="32" t="s">
        <v>231</v>
      </c>
      <c r="F27" s="32" t="s">
        <v>304</v>
      </c>
      <c r="G27" s="32" t="s">
        <v>305</v>
      </c>
      <c r="H27" s="33">
        <v>200000</v>
      </c>
      <c r="I27" s="32" t="s">
        <v>84</v>
      </c>
      <c r="J27" s="33">
        <v>200000</v>
      </c>
      <c r="K27" s="33">
        <v>1</v>
      </c>
      <c r="L27" s="32" t="s">
        <v>296</v>
      </c>
      <c r="M27" s="32" t="s">
        <v>306</v>
      </c>
      <c r="N27" s="32" t="s">
        <v>95</v>
      </c>
      <c r="O27" s="32" t="s">
        <v>235</v>
      </c>
      <c r="P27" s="32" t="s">
        <v>236</v>
      </c>
      <c r="Q27" s="32" t="s">
        <v>98</v>
      </c>
      <c r="R27" s="32" t="s">
        <v>98</v>
      </c>
      <c r="S27" s="32" t="s">
        <v>307</v>
      </c>
      <c r="T27" s="32" t="s">
        <v>308</v>
      </c>
      <c r="U27" s="32" t="s">
        <v>309</v>
      </c>
      <c r="V27" s="32" t="s">
        <v>310</v>
      </c>
      <c r="W27" s="32" t="s">
        <v>311</v>
      </c>
      <c r="X27" s="32" t="s">
        <v>104</v>
      </c>
    </row>
    <row r="28" spans="1:24" s="34" customFormat="1" ht="126" x14ac:dyDescent="0.25">
      <c r="A28" s="32" t="s">
        <v>312</v>
      </c>
      <c r="B28" s="36">
        <v>10</v>
      </c>
      <c r="C28" s="32" t="s">
        <v>230</v>
      </c>
      <c r="D28" s="32" t="s">
        <v>313</v>
      </c>
      <c r="E28" s="32" t="s">
        <v>231</v>
      </c>
      <c r="F28" s="32" t="s">
        <v>314</v>
      </c>
      <c r="G28" s="32" t="s">
        <v>315</v>
      </c>
      <c r="H28" s="33">
        <v>300000</v>
      </c>
      <c r="I28" s="32" t="s">
        <v>84</v>
      </c>
      <c r="J28" s="33">
        <v>300000</v>
      </c>
      <c r="K28" s="33">
        <v>1</v>
      </c>
      <c r="L28" s="32" t="s">
        <v>316</v>
      </c>
      <c r="M28" s="32" t="s">
        <v>317</v>
      </c>
      <c r="N28" s="32" t="s">
        <v>95</v>
      </c>
      <c r="O28" s="32" t="s">
        <v>235</v>
      </c>
      <c r="P28" s="32" t="s">
        <v>236</v>
      </c>
      <c r="Q28" s="32" t="s">
        <v>98</v>
      </c>
      <c r="R28" s="32" t="s">
        <v>98</v>
      </c>
      <c r="S28" s="32" t="s">
        <v>296</v>
      </c>
      <c r="T28" s="32" t="s">
        <v>318</v>
      </c>
      <c r="U28" s="32" t="s">
        <v>319</v>
      </c>
      <c r="V28" s="32" t="s">
        <v>320</v>
      </c>
      <c r="W28" s="32" t="s">
        <v>321</v>
      </c>
      <c r="X28" s="32" t="s">
        <v>104</v>
      </c>
    </row>
    <row r="29" spans="1:24" s="40" customFormat="1" ht="142.5" x14ac:dyDescent="0.25">
      <c r="A29" s="38" t="s">
        <v>322</v>
      </c>
      <c r="B29" s="39">
        <v>1</v>
      </c>
      <c r="C29" s="38" t="s">
        <v>323</v>
      </c>
      <c r="D29" s="38" t="s">
        <v>324</v>
      </c>
      <c r="E29" s="38" t="s">
        <v>8</v>
      </c>
      <c r="F29" s="38" t="s">
        <v>325</v>
      </c>
      <c r="G29" s="39" t="s">
        <v>1290</v>
      </c>
      <c r="H29" s="38"/>
      <c r="I29" s="38" t="s">
        <v>326</v>
      </c>
      <c r="J29" s="38">
        <v>1</v>
      </c>
      <c r="K29" s="38">
        <v>2</v>
      </c>
      <c r="L29" s="38" t="s">
        <v>1291</v>
      </c>
      <c r="M29" s="38" t="s">
        <v>1292</v>
      </c>
      <c r="N29" s="38" t="s">
        <v>95</v>
      </c>
      <c r="O29" s="38" t="s">
        <v>1293</v>
      </c>
      <c r="P29" s="38" t="s">
        <v>359</v>
      </c>
      <c r="Q29" s="38" t="s">
        <v>98</v>
      </c>
      <c r="R29" s="38" t="s">
        <v>1294</v>
      </c>
      <c r="S29" s="38" t="s">
        <v>1295</v>
      </c>
      <c r="T29" s="38" t="s">
        <v>1296</v>
      </c>
      <c r="U29" s="38" t="s">
        <v>1297</v>
      </c>
      <c r="V29" s="38" t="s">
        <v>1298</v>
      </c>
      <c r="W29" s="64" t="s">
        <v>1299</v>
      </c>
      <c r="X29" s="38" t="s">
        <v>104</v>
      </c>
    </row>
    <row r="30" spans="1:24" s="40" customFormat="1" ht="110.25" x14ac:dyDescent="0.25">
      <c r="A30" s="38" t="s">
        <v>328</v>
      </c>
      <c r="B30" s="39">
        <v>2</v>
      </c>
      <c r="C30" s="38" t="s">
        <v>323</v>
      </c>
      <c r="D30" s="38" t="s">
        <v>324</v>
      </c>
      <c r="E30" s="38" t="s">
        <v>8</v>
      </c>
      <c r="F30" s="38" t="s">
        <v>329</v>
      </c>
      <c r="G30" s="39" t="s">
        <v>1300</v>
      </c>
      <c r="H30" s="38"/>
      <c r="I30" s="38" t="s">
        <v>326</v>
      </c>
      <c r="J30" s="38">
        <v>1</v>
      </c>
      <c r="K30" s="38">
        <v>2</v>
      </c>
      <c r="L30" s="38" t="s">
        <v>1301</v>
      </c>
      <c r="M30" s="38" t="s">
        <v>1302</v>
      </c>
      <c r="N30" s="38" t="s">
        <v>95</v>
      </c>
      <c r="O30" s="38" t="s">
        <v>1303</v>
      </c>
      <c r="P30" s="38" t="s">
        <v>359</v>
      </c>
      <c r="Q30" s="38" t="s">
        <v>98</v>
      </c>
      <c r="R30" s="38" t="s">
        <v>1294</v>
      </c>
      <c r="S30" s="38" t="s">
        <v>1304</v>
      </c>
      <c r="T30" s="38" t="s">
        <v>1305</v>
      </c>
      <c r="U30" s="38" t="s">
        <v>1306</v>
      </c>
      <c r="V30" s="38" t="s">
        <v>1307</v>
      </c>
      <c r="W30" s="64" t="s">
        <v>1308</v>
      </c>
      <c r="X30" s="38" t="s">
        <v>104</v>
      </c>
    </row>
    <row r="31" spans="1:24" s="40" customFormat="1" ht="110.25" x14ac:dyDescent="0.25">
      <c r="A31" s="38" t="s">
        <v>330</v>
      </c>
      <c r="B31" s="39">
        <v>3</v>
      </c>
      <c r="C31" s="38" t="s">
        <v>323</v>
      </c>
      <c r="D31" s="38" t="s">
        <v>14</v>
      </c>
      <c r="E31" s="38" t="s">
        <v>8</v>
      </c>
      <c r="F31" s="38" t="s">
        <v>2</v>
      </c>
      <c r="G31" s="39" t="s">
        <v>1309</v>
      </c>
      <c r="H31" s="38"/>
      <c r="I31" s="38" t="s">
        <v>331</v>
      </c>
      <c r="J31" s="38" t="s">
        <v>1225</v>
      </c>
      <c r="K31" s="38" t="s">
        <v>332</v>
      </c>
      <c r="L31" s="38" t="s">
        <v>333</v>
      </c>
      <c r="M31" s="38" t="s">
        <v>1310</v>
      </c>
      <c r="N31" s="38" t="s">
        <v>95</v>
      </c>
      <c r="O31" s="38" t="s">
        <v>1311</v>
      </c>
      <c r="P31" s="38" t="s">
        <v>359</v>
      </c>
      <c r="Q31" s="38" t="s">
        <v>98</v>
      </c>
      <c r="R31" s="38" t="s">
        <v>1312</v>
      </c>
      <c r="S31" s="38" t="s">
        <v>333</v>
      </c>
      <c r="T31" s="38" t="s">
        <v>1313</v>
      </c>
      <c r="U31" s="38" t="s">
        <v>1314</v>
      </c>
      <c r="V31" s="38" t="s">
        <v>1315</v>
      </c>
      <c r="W31" s="38" t="s">
        <v>1316</v>
      </c>
      <c r="X31" s="38" t="s">
        <v>104</v>
      </c>
    </row>
    <row r="32" spans="1:24" s="40" customFormat="1" ht="141.75" x14ac:dyDescent="0.25">
      <c r="A32" s="38" t="s">
        <v>334</v>
      </c>
      <c r="B32" s="39">
        <v>4</v>
      </c>
      <c r="C32" s="38" t="s">
        <v>323</v>
      </c>
      <c r="D32" s="38" t="s">
        <v>14</v>
      </c>
      <c r="E32" s="38" t="s">
        <v>8</v>
      </c>
      <c r="F32" s="38" t="s">
        <v>3</v>
      </c>
      <c r="G32" s="39" t="s">
        <v>1317</v>
      </c>
      <c r="H32" s="38"/>
      <c r="I32" s="38" t="s">
        <v>331</v>
      </c>
      <c r="J32" s="38" t="s">
        <v>1219</v>
      </c>
      <c r="K32" s="38" t="s">
        <v>332</v>
      </c>
      <c r="L32" s="38" t="s">
        <v>333</v>
      </c>
      <c r="M32" s="38" t="s">
        <v>1318</v>
      </c>
      <c r="N32" s="38" t="s">
        <v>95</v>
      </c>
      <c r="O32" s="38" t="s">
        <v>1311</v>
      </c>
      <c r="P32" s="38" t="s">
        <v>359</v>
      </c>
      <c r="Q32" s="38" t="s">
        <v>98</v>
      </c>
      <c r="R32" s="38" t="s">
        <v>1319</v>
      </c>
      <c r="S32" s="38" t="s">
        <v>333</v>
      </c>
      <c r="T32" s="38" t="s">
        <v>1320</v>
      </c>
      <c r="U32" s="38" t="s">
        <v>1321</v>
      </c>
      <c r="V32" s="38" t="s">
        <v>1322</v>
      </c>
      <c r="W32" s="38" t="s">
        <v>1323</v>
      </c>
      <c r="X32" s="38" t="s">
        <v>104</v>
      </c>
    </row>
    <row r="33" spans="1:24" s="40" customFormat="1" ht="141.75" x14ac:dyDescent="0.25">
      <c r="A33" s="38" t="s">
        <v>336</v>
      </c>
      <c r="B33" s="39">
        <v>5</v>
      </c>
      <c r="C33" s="38" t="s">
        <v>323</v>
      </c>
      <c r="D33" s="38" t="s">
        <v>337</v>
      </c>
      <c r="E33" s="38" t="s">
        <v>8</v>
      </c>
      <c r="F33" s="38" t="s">
        <v>338</v>
      </c>
      <c r="G33" s="39" t="s">
        <v>1324</v>
      </c>
      <c r="H33" s="38"/>
      <c r="I33" s="38" t="s">
        <v>339</v>
      </c>
      <c r="J33" s="38" t="s">
        <v>340</v>
      </c>
      <c r="K33" s="38">
        <v>2</v>
      </c>
      <c r="L33" s="38" t="s">
        <v>341</v>
      </c>
      <c r="M33" s="38" t="s">
        <v>1325</v>
      </c>
      <c r="N33" s="38" t="s">
        <v>95</v>
      </c>
      <c r="O33" s="38" t="s">
        <v>1326</v>
      </c>
      <c r="P33" s="38" t="s">
        <v>359</v>
      </c>
      <c r="Q33" s="38" t="s">
        <v>98</v>
      </c>
      <c r="R33" s="38" t="s">
        <v>814</v>
      </c>
      <c r="S33" s="38" t="s">
        <v>1327</v>
      </c>
      <c r="T33" s="38" t="s">
        <v>1328</v>
      </c>
      <c r="U33" s="38" t="s">
        <v>1329</v>
      </c>
      <c r="V33" s="38" t="s">
        <v>1330</v>
      </c>
      <c r="W33" s="38" t="s">
        <v>1331</v>
      </c>
      <c r="X33" s="38" t="s">
        <v>104</v>
      </c>
    </row>
    <row r="34" spans="1:24" s="40" customFormat="1" ht="94.5" x14ac:dyDescent="0.25">
      <c r="A34" s="38" t="s">
        <v>343</v>
      </c>
      <c r="B34" s="39">
        <v>6</v>
      </c>
      <c r="C34" s="38" t="s">
        <v>323</v>
      </c>
      <c r="D34" s="38" t="s">
        <v>324</v>
      </c>
      <c r="E34" s="38" t="s">
        <v>8</v>
      </c>
      <c r="F34" s="38" t="s">
        <v>1332</v>
      </c>
      <c r="G34" s="39" t="s">
        <v>1333</v>
      </c>
      <c r="H34" s="38"/>
      <c r="I34" s="38" t="s">
        <v>344</v>
      </c>
      <c r="J34" s="38">
        <v>1</v>
      </c>
      <c r="K34" s="38" t="s">
        <v>332</v>
      </c>
      <c r="L34" s="38" t="s">
        <v>1334</v>
      </c>
      <c r="M34" s="38" t="s">
        <v>1335</v>
      </c>
      <c r="N34" s="38" t="s">
        <v>95</v>
      </c>
      <c r="O34" s="38" t="s">
        <v>1336</v>
      </c>
      <c r="P34" s="38" t="s">
        <v>359</v>
      </c>
      <c r="Q34" s="38" t="s">
        <v>98</v>
      </c>
      <c r="R34" s="38" t="s">
        <v>1337</v>
      </c>
      <c r="S34" s="38" t="s">
        <v>1338</v>
      </c>
      <c r="T34" s="38" t="s">
        <v>1339</v>
      </c>
      <c r="U34" s="38" t="s">
        <v>1340</v>
      </c>
      <c r="V34" s="38" t="s">
        <v>1341</v>
      </c>
      <c r="W34" s="38" t="s">
        <v>1342</v>
      </c>
      <c r="X34" s="38" t="s">
        <v>104</v>
      </c>
    </row>
    <row r="35" spans="1:24" s="40" customFormat="1" ht="94.5" x14ac:dyDescent="0.25">
      <c r="A35" s="38" t="s">
        <v>345</v>
      </c>
      <c r="B35" s="39">
        <v>7</v>
      </c>
      <c r="C35" s="38" t="s">
        <v>323</v>
      </c>
      <c r="D35" s="38" t="s">
        <v>14</v>
      </c>
      <c r="E35" s="38" t="s">
        <v>8</v>
      </c>
      <c r="F35" s="38" t="s">
        <v>1343</v>
      </c>
      <c r="G35" s="39" t="s">
        <v>1344</v>
      </c>
      <c r="H35" s="38"/>
      <c r="I35" s="38" t="s">
        <v>331</v>
      </c>
      <c r="J35" s="38" t="s">
        <v>1225</v>
      </c>
      <c r="K35" s="38" t="s">
        <v>332</v>
      </c>
      <c r="L35" s="38" t="s">
        <v>333</v>
      </c>
      <c r="M35" s="38" t="s">
        <v>1310</v>
      </c>
      <c r="N35" s="38" t="s">
        <v>95</v>
      </c>
      <c r="O35" s="38" t="s">
        <v>1311</v>
      </c>
      <c r="P35" s="38" t="s">
        <v>359</v>
      </c>
      <c r="Q35" s="38" t="s">
        <v>98</v>
      </c>
      <c r="R35" s="38" t="s">
        <v>1312</v>
      </c>
      <c r="S35" s="38" t="s">
        <v>333</v>
      </c>
      <c r="T35" s="38" t="s">
        <v>1345</v>
      </c>
      <c r="U35" s="38" t="s">
        <v>1314</v>
      </c>
      <c r="V35" s="38" t="s">
        <v>1346</v>
      </c>
      <c r="W35" s="38" t="s">
        <v>1347</v>
      </c>
      <c r="X35" s="38" t="s">
        <v>104</v>
      </c>
    </row>
    <row r="36" spans="1:24" s="40" customFormat="1" ht="110.25" x14ac:dyDescent="0.25">
      <c r="A36" s="38" t="s">
        <v>346</v>
      </c>
      <c r="B36" s="39">
        <v>8</v>
      </c>
      <c r="C36" s="38" t="s">
        <v>323</v>
      </c>
      <c r="D36" s="38" t="s">
        <v>324</v>
      </c>
      <c r="E36" s="38" t="s">
        <v>8</v>
      </c>
      <c r="F36" s="38" t="s">
        <v>347</v>
      </c>
      <c r="G36" s="39" t="s">
        <v>1348</v>
      </c>
      <c r="H36" s="38"/>
      <c r="I36" s="38" t="s">
        <v>326</v>
      </c>
      <c r="J36" s="38">
        <v>1</v>
      </c>
      <c r="K36" s="38">
        <v>2</v>
      </c>
      <c r="L36" s="38" t="s">
        <v>1301</v>
      </c>
      <c r="M36" s="38" t="s">
        <v>1349</v>
      </c>
      <c r="N36" s="38" t="s">
        <v>95</v>
      </c>
      <c r="O36" s="38" t="s">
        <v>1350</v>
      </c>
      <c r="P36" s="38" t="s">
        <v>359</v>
      </c>
      <c r="Q36" s="38" t="s">
        <v>98</v>
      </c>
      <c r="R36" s="38" t="s">
        <v>1294</v>
      </c>
      <c r="S36" s="38" t="s">
        <v>1304</v>
      </c>
      <c r="T36" s="38" t="s">
        <v>1351</v>
      </c>
      <c r="U36" s="38" t="s">
        <v>1352</v>
      </c>
      <c r="V36" s="38" t="s">
        <v>1353</v>
      </c>
      <c r="W36" s="38" t="s">
        <v>1354</v>
      </c>
      <c r="X36" s="38" t="s">
        <v>104</v>
      </c>
    </row>
    <row r="37" spans="1:24" s="40" customFormat="1" ht="94.5" x14ac:dyDescent="0.25">
      <c r="A37" s="38" t="s">
        <v>348</v>
      </c>
      <c r="B37" s="39">
        <v>9</v>
      </c>
      <c r="C37" s="38" t="s">
        <v>323</v>
      </c>
      <c r="D37" s="38" t="s">
        <v>337</v>
      </c>
      <c r="E37" s="38" t="s">
        <v>8</v>
      </c>
      <c r="F37" s="38" t="s">
        <v>1355</v>
      </c>
      <c r="G37" s="39" t="s">
        <v>1356</v>
      </c>
      <c r="H37" s="38"/>
      <c r="I37" s="38" t="s">
        <v>1357</v>
      </c>
      <c r="J37" s="38">
        <v>0</v>
      </c>
      <c r="K37" s="38" t="s">
        <v>332</v>
      </c>
      <c r="L37" s="38" t="s">
        <v>341</v>
      </c>
      <c r="M37" s="38" t="s">
        <v>1358</v>
      </c>
      <c r="N37" s="38" t="s">
        <v>95</v>
      </c>
      <c r="O37" s="38" t="s">
        <v>1359</v>
      </c>
      <c r="P37" s="38" t="s">
        <v>359</v>
      </c>
      <c r="Q37" s="38" t="s">
        <v>98</v>
      </c>
      <c r="R37" s="38" t="s">
        <v>1360</v>
      </c>
      <c r="S37" s="38" t="s">
        <v>1361</v>
      </c>
      <c r="T37" s="38" t="s">
        <v>1362</v>
      </c>
      <c r="U37" s="38" t="s">
        <v>1363</v>
      </c>
      <c r="V37" s="38" t="s">
        <v>1364</v>
      </c>
      <c r="W37" s="38" t="s">
        <v>1365</v>
      </c>
      <c r="X37" s="38" t="s">
        <v>104</v>
      </c>
    </row>
    <row r="38" spans="1:24" s="40" customFormat="1" ht="111" x14ac:dyDescent="0.25">
      <c r="A38" s="38" t="s">
        <v>349</v>
      </c>
      <c r="B38" s="39">
        <v>10</v>
      </c>
      <c r="C38" s="38" t="s">
        <v>323</v>
      </c>
      <c r="D38" s="38" t="s">
        <v>324</v>
      </c>
      <c r="E38" s="38" t="s">
        <v>8</v>
      </c>
      <c r="F38" s="38" t="s">
        <v>350</v>
      </c>
      <c r="G38" s="39" t="s">
        <v>1366</v>
      </c>
      <c r="H38" s="38"/>
      <c r="I38" s="38" t="s">
        <v>326</v>
      </c>
      <c r="J38" s="38">
        <v>1</v>
      </c>
      <c r="K38" s="38">
        <v>2</v>
      </c>
      <c r="L38" s="38" t="s">
        <v>1367</v>
      </c>
      <c r="M38" s="38" t="s">
        <v>1368</v>
      </c>
      <c r="N38" s="38" t="s">
        <v>95</v>
      </c>
      <c r="O38" s="38" t="s">
        <v>1369</v>
      </c>
      <c r="P38" s="38" t="s">
        <v>359</v>
      </c>
      <c r="Q38" s="38" t="s">
        <v>98</v>
      </c>
      <c r="R38" s="38" t="s">
        <v>1294</v>
      </c>
      <c r="S38" s="38" t="s">
        <v>351</v>
      </c>
      <c r="T38" s="38" t="s">
        <v>1370</v>
      </c>
      <c r="U38" s="38" t="s">
        <v>1371</v>
      </c>
      <c r="V38" s="38" t="s">
        <v>1372</v>
      </c>
      <c r="W38" s="38" t="s">
        <v>1373</v>
      </c>
      <c r="X38" s="38" t="s">
        <v>104</v>
      </c>
    </row>
    <row r="39" spans="1:24" s="44" customFormat="1" ht="126" x14ac:dyDescent="0.25">
      <c r="A39" s="42" t="s">
        <v>352</v>
      </c>
      <c r="B39" s="52">
        <v>1</v>
      </c>
      <c r="C39" s="42" t="s">
        <v>41</v>
      </c>
      <c r="D39" s="42" t="s">
        <v>353</v>
      </c>
      <c r="E39" s="42" t="s">
        <v>6</v>
      </c>
      <c r="F39" s="42" t="s">
        <v>354</v>
      </c>
      <c r="G39" s="42" t="s">
        <v>355</v>
      </c>
      <c r="H39" s="43">
        <v>3000</v>
      </c>
      <c r="I39" s="42" t="s">
        <v>356</v>
      </c>
      <c r="J39" s="42" t="s">
        <v>353</v>
      </c>
      <c r="K39" s="43">
        <v>1</v>
      </c>
      <c r="L39" s="42" t="s">
        <v>357</v>
      </c>
      <c r="M39" s="42" t="s">
        <v>358</v>
      </c>
      <c r="N39" s="42" t="s">
        <v>95</v>
      </c>
      <c r="O39" s="42" t="s">
        <v>95</v>
      </c>
      <c r="P39" s="42" t="s">
        <v>359</v>
      </c>
      <c r="Q39" s="42" t="s">
        <v>98</v>
      </c>
      <c r="R39" s="42" t="s">
        <v>98</v>
      </c>
      <c r="S39" s="42" t="s">
        <v>360</v>
      </c>
      <c r="T39" s="42" t="s">
        <v>361</v>
      </c>
      <c r="U39" s="42" t="s">
        <v>362</v>
      </c>
      <c r="V39" s="42" t="s">
        <v>363</v>
      </c>
      <c r="W39" s="42" t="s">
        <v>364</v>
      </c>
      <c r="X39" s="42" t="s">
        <v>104</v>
      </c>
    </row>
    <row r="40" spans="1:24" s="44" customFormat="1" ht="126" x14ac:dyDescent="0.25">
      <c r="A40" s="42" t="s">
        <v>365</v>
      </c>
      <c r="B40" s="52">
        <v>2</v>
      </c>
      <c r="C40" s="42" t="s">
        <v>41</v>
      </c>
      <c r="D40" s="42" t="s">
        <v>353</v>
      </c>
      <c r="E40" s="42" t="s">
        <v>6</v>
      </c>
      <c r="F40" s="42" t="s">
        <v>366</v>
      </c>
      <c r="G40" s="42" t="s">
        <v>367</v>
      </c>
      <c r="H40" s="43">
        <v>2500</v>
      </c>
      <c r="I40" s="42" t="s">
        <v>356</v>
      </c>
      <c r="J40" s="42" t="s">
        <v>353</v>
      </c>
      <c r="K40" s="43">
        <v>1</v>
      </c>
      <c r="L40" s="42" t="s">
        <v>357</v>
      </c>
      <c r="M40" s="42" t="s">
        <v>368</v>
      </c>
      <c r="N40" s="42" t="s">
        <v>95</v>
      </c>
      <c r="O40" s="42" t="s">
        <v>95</v>
      </c>
      <c r="P40" s="42" t="s">
        <v>359</v>
      </c>
      <c r="Q40" s="42" t="s">
        <v>98</v>
      </c>
      <c r="R40" s="42" t="s">
        <v>98</v>
      </c>
      <c r="S40" s="42" t="s">
        <v>369</v>
      </c>
      <c r="T40" s="42" t="s">
        <v>370</v>
      </c>
      <c r="U40" s="42" t="s">
        <v>371</v>
      </c>
      <c r="V40" s="42" t="s">
        <v>372</v>
      </c>
      <c r="W40" s="42" t="s">
        <v>373</v>
      </c>
      <c r="X40" s="42" t="s">
        <v>104</v>
      </c>
    </row>
    <row r="41" spans="1:24" s="44" customFormat="1" ht="94.5" x14ac:dyDescent="0.25">
      <c r="A41" s="42" t="s">
        <v>374</v>
      </c>
      <c r="B41" s="52">
        <v>3</v>
      </c>
      <c r="C41" s="42" t="s">
        <v>41</v>
      </c>
      <c r="D41" s="42" t="s">
        <v>353</v>
      </c>
      <c r="E41" s="42" t="s">
        <v>6</v>
      </c>
      <c r="F41" s="42" t="s">
        <v>375</v>
      </c>
      <c r="G41" s="42" t="s">
        <v>376</v>
      </c>
      <c r="H41" s="43">
        <v>6000</v>
      </c>
      <c r="I41" s="42" t="s">
        <v>356</v>
      </c>
      <c r="J41" s="42" t="s">
        <v>353</v>
      </c>
      <c r="K41" s="43">
        <v>1</v>
      </c>
      <c r="L41" s="42" t="s">
        <v>357</v>
      </c>
      <c r="M41" s="42" t="s">
        <v>377</v>
      </c>
      <c r="N41" s="42" t="s">
        <v>95</v>
      </c>
      <c r="O41" s="42" t="s">
        <v>378</v>
      </c>
      <c r="P41" s="42" t="s">
        <v>359</v>
      </c>
      <c r="Q41" s="42" t="s">
        <v>98</v>
      </c>
      <c r="R41" s="42" t="s">
        <v>98</v>
      </c>
      <c r="S41" s="42" t="s">
        <v>379</v>
      </c>
      <c r="T41" s="42" t="s">
        <v>380</v>
      </c>
      <c r="U41" s="42" t="s">
        <v>381</v>
      </c>
      <c r="V41" s="42" t="s">
        <v>382</v>
      </c>
      <c r="W41" s="42" t="s">
        <v>383</v>
      </c>
      <c r="X41" s="42" t="s">
        <v>104</v>
      </c>
    </row>
    <row r="42" spans="1:24" s="44" customFormat="1" ht="126" x14ac:dyDescent="0.25">
      <c r="A42" s="42" t="s">
        <v>384</v>
      </c>
      <c r="B42" s="52">
        <v>4</v>
      </c>
      <c r="C42" s="42" t="s">
        <v>41</v>
      </c>
      <c r="D42" s="42" t="s">
        <v>353</v>
      </c>
      <c r="E42" s="42" t="s">
        <v>6</v>
      </c>
      <c r="F42" s="42" t="s">
        <v>385</v>
      </c>
      <c r="G42" s="42" t="s">
        <v>386</v>
      </c>
      <c r="H42" s="43">
        <v>8500</v>
      </c>
      <c r="I42" s="42" t="s">
        <v>356</v>
      </c>
      <c r="J42" s="42" t="s">
        <v>353</v>
      </c>
      <c r="K42" s="43">
        <v>1</v>
      </c>
      <c r="L42" s="42" t="s">
        <v>357</v>
      </c>
      <c r="M42" s="42" t="s">
        <v>387</v>
      </c>
      <c r="N42" s="42" t="s">
        <v>95</v>
      </c>
      <c r="O42" s="42" t="s">
        <v>95</v>
      </c>
      <c r="P42" s="42" t="s">
        <v>359</v>
      </c>
      <c r="Q42" s="42" t="s">
        <v>98</v>
      </c>
      <c r="R42" s="42" t="s">
        <v>98</v>
      </c>
      <c r="S42" s="42" t="s">
        <v>388</v>
      </c>
      <c r="T42" s="42" t="s">
        <v>389</v>
      </c>
      <c r="U42" s="42" t="s">
        <v>390</v>
      </c>
      <c r="V42" s="42" t="s">
        <v>391</v>
      </c>
      <c r="W42" s="42" t="s">
        <v>392</v>
      </c>
      <c r="X42" s="42" t="s">
        <v>104</v>
      </c>
    </row>
    <row r="43" spans="1:24" s="44" customFormat="1" ht="110.25" x14ac:dyDescent="0.25">
      <c r="A43" s="42" t="s">
        <v>393</v>
      </c>
      <c r="B43" s="52">
        <v>5</v>
      </c>
      <c r="C43" s="42" t="s">
        <v>41</v>
      </c>
      <c r="D43" s="42" t="s">
        <v>353</v>
      </c>
      <c r="E43" s="42" t="s">
        <v>6</v>
      </c>
      <c r="F43" s="42" t="s">
        <v>394</v>
      </c>
      <c r="G43" s="42" t="s">
        <v>395</v>
      </c>
      <c r="H43" s="43">
        <v>9500</v>
      </c>
      <c r="I43" s="42" t="s">
        <v>356</v>
      </c>
      <c r="J43" s="42" t="s">
        <v>353</v>
      </c>
      <c r="K43" s="43">
        <v>1</v>
      </c>
      <c r="L43" s="42" t="s">
        <v>357</v>
      </c>
      <c r="M43" s="42" t="s">
        <v>396</v>
      </c>
      <c r="N43" s="42" t="s">
        <v>95</v>
      </c>
      <c r="O43" s="42" t="s">
        <v>95</v>
      </c>
      <c r="P43" s="42" t="s">
        <v>359</v>
      </c>
      <c r="Q43" s="42" t="s">
        <v>98</v>
      </c>
      <c r="R43" s="42" t="s">
        <v>98</v>
      </c>
      <c r="S43" s="42" t="s">
        <v>357</v>
      </c>
      <c r="T43" s="42" t="s">
        <v>397</v>
      </c>
      <c r="U43" s="42" t="s">
        <v>398</v>
      </c>
      <c r="V43" s="42" t="s">
        <v>399</v>
      </c>
      <c r="W43" s="42" t="s">
        <v>400</v>
      </c>
      <c r="X43" s="42" t="s">
        <v>104</v>
      </c>
    </row>
    <row r="44" spans="1:24" s="44" customFormat="1" ht="157.5" x14ac:dyDescent="0.25">
      <c r="A44" s="42" t="s">
        <v>401</v>
      </c>
      <c r="B44" s="52">
        <v>6</v>
      </c>
      <c r="C44" s="42" t="s">
        <v>41</v>
      </c>
      <c r="D44" s="42" t="s">
        <v>402</v>
      </c>
      <c r="E44" s="42" t="s">
        <v>6</v>
      </c>
      <c r="F44" s="42" t="s">
        <v>403</v>
      </c>
      <c r="G44" s="42" t="s">
        <v>404</v>
      </c>
      <c r="H44" s="43">
        <v>8000</v>
      </c>
      <c r="I44" s="42" t="s">
        <v>356</v>
      </c>
      <c r="J44" s="42" t="s">
        <v>402</v>
      </c>
      <c r="K44" s="43">
        <v>1</v>
      </c>
      <c r="L44" s="42" t="s">
        <v>357</v>
      </c>
      <c r="M44" s="42" t="s">
        <v>405</v>
      </c>
      <c r="N44" s="42" t="s">
        <v>95</v>
      </c>
      <c r="O44" s="42" t="s">
        <v>406</v>
      </c>
      <c r="P44" s="42" t="s">
        <v>359</v>
      </c>
      <c r="Q44" s="42" t="s">
        <v>98</v>
      </c>
      <c r="R44" s="42" t="s">
        <v>98</v>
      </c>
      <c r="S44" s="42" t="s">
        <v>407</v>
      </c>
      <c r="T44" s="42" t="s">
        <v>408</v>
      </c>
      <c r="U44" s="42" t="s">
        <v>409</v>
      </c>
      <c r="V44" s="42" t="s">
        <v>410</v>
      </c>
      <c r="W44" s="42" t="s">
        <v>411</v>
      </c>
      <c r="X44" s="42" t="s">
        <v>104</v>
      </c>
    </row>
    <row r="45" spans="1:24" s="44" customFormat="1" ht="110.25" x14ac:dyDescent="0.25">
      <c r="A45" s="42" t="s">
        <v>412</v>
      </c>
      <c r="B45" s="52">
        <v>7</v>
      </c>
      <c r="C45" s="42" t="s">
        <v>41</v>
      </c>
      <c r="D45" s="42" t="s">
        <v>402</v>
      </c>
      <c r="E45" s="42" t="s">
        <v>6</v>
      </c>
      <c r="F45" s="42" t="s">
        <v>413</v>
      </c>
      <c r="G45" s="42" t="s">
        <v>414</v>
      </c>
      <c r="H45" s="43">
        <v>9000</v>
      </c>
      <c r="I45" s="42" t="s">
        <v>356</v>
      </c>
      <c r="J45" s="42" t="s">
        <v>402</v>
      </c>
      <c r="K45" s="43">
        <v>1</v>
      </c>
      <c r="L45" s="42" t="s">
        <v>357</v>
      </c>
      <c r="M45" s="42" t="s">
        <v>415</v>
      </c>
      <c r="N45" s="42" t="s">
        <v>95</v>
      </c>
      <c r="O45" s="42" t="s">
        <v>378</v>
      </c>
      <c r="P45" s="42" t="s">
        <v>359</v>
      </c>
      <c r="Q45" s="42" t="s">
        <v>98</v>
      </c>
      <c r="R45" s="42" t="s">
        <v>98</v>
      </c>
      <c r="S45" s="42" t="s">
        <v>416</v>
      </c>
      <c r="T45" s="42" t="s">
        <v>417</v>
      </c>
      <c r="U45" s="42" t="s">
        <v>418</v>
      </c>
      <c r="V45" s="42" t="s">
        <v>419</v>
      </c>
      <c r="W45" s="42" t="s">
        <v>420</v>
      </c>
      <c r="X45" s="42" t="s">
        <v>104</v>
      </c>
    </row>
    <row r="46" spans="1:24" s="44" customFormat="1" ht="110.25" x14ac:dyDescent="0.25">
      <c r="A46" s="42" t="s">
        <v>421</v>
      </c>
      <c r="B46" s="52">
        <v>8</v>
      </c>
      <c r="C46" s="42" t="s">
        <v>41</v>
      </c>
      <c r="D46" s="42" t="s">
        <v>402</v>
      </c>
      <c r="E46" s="42" t="s">
        <v>6</v>
      </c>
      <c r="F46" s="42" t="s">
        <v>422</v>
      </c>
      <c r="G46" s="42" t="s">
        <v>423</v>
      </c>
      <c r="H46" s="43">
        <v>10000</v>
      </c>
      <c r="I46" s="42" t="s">
        <v>356</v>
      </c>
      <c r="J46" s="42" t="s">
        <v>402</v>
      </c>
      <c r="K46" s="43">
        <v>1</v>
      </c>
      <c r="L46" s="42" t="s">
        <v>357</v>
      </c>
      <c r="M46" s="42" t="s">
        <v>424</v>
      </c>
      <c r="N46" s="42" t="s">
        <v>95</v>
      </c>
      <c r="O46" s="42" t="s">
        <v>95</v>
      </c>
      <c r="P46" s="42" t="s">
        <v>359</v>
      </c>
      <c r="Q46" s="42" t="s">
        <v>98</v>
      </c>
      <c r="R46" s="42" t="s">
        <v>98</v>
      </c>
      <c r="S46" s="42" t="s">
        <v>425</v>
      </c>
      <c r="T46" s="42" t="s">
        <v>426</v>
      </c>
      <c r="U46" s="42" t="s">
        <v>427</v>
      </c>
      <c r="V46" s="42" t="s">
        <v>428</v>
      </c>
      <c r="W46" s="42" t="s">
        <v>429</v>
      </c>
      <c r="X46" s="42" t="s">
        <v>104</v>
      </c>
    </row>
    <row r="47" spans="1:24" s="44" customFormat="1" ht="126" x14ac:dyDescent="0.25">
      <c r="A47" s="42" t="s">
        <v>430</v>
      </c>
      <c r="B47" s="52">
        <v>9</v>
      </c>
      <c r="C47" s="42" t="s">
        <v>41</v>
      </c>
      <c r="D47" s="42" t="s">
        <v>402</v>
      </c>
      <c r="E47" s="42" t="s">
        <v>6</v>
      </c>
      <c r="F47" s="42" t="s">
        <v>431</v>
      </c>
      <c r="G47" s="42" t="s">
        <v>432</v>
      </c>
      <c r="H47" s="43">
        <v>18000</v>
      </c>
      <c r="I47" s="42" t="s">
        <v>356</v>
      </c>
      <c r="J47" s="42" t="s">
        <v>402</v>
      </c>
      <c r="K47" s="43">
        <v>1</v>
      </c>
      <c r="L47" s="42" t="s">
        <v>357</v>
      </c>
      <c r="M47" s="42" t="s">
        <v>433</v>
      </c>
      <c r="N47" s="42" t="s">
        <v>95</v>
      </c>
      <c r="O47" s="42" t="s">
        <v>95</v>
      </c>
      <c r="P47" s="42" t="s">
        <v>359</v>
      </c>
      <c r="Q47" s="42" t="s">
        <v>98</v>
      </c>
      <c r="R47" s="42" t="s">
        <v>98</v>
      </c>
      <c r="S47" s="42" t="s">
        <v>434</v>
      </c>
      <c r="T47" s="42" t="s">
        <v>435</v>
      </c>
      <c r="U47" s="42" t="s">
        <v>436</v>
      </c>
      <c r="V47" s="42" t="s">
        <v>437</v>
      </c>
      <c r="W47" s="42" t="s">
        <v>438</v>
      </c>
      <c r="X47" s="42" t="s">
        <v>104</v>
      </c>
    </row>
    <row r="48" spans="1:24" s="44" customFormat="1" ht="126" x14ac:dyDescent="0.25">
      <c r="A48" s="42" t="s">
        <v>439</v>
      </c>
      <c r="B48" s="52">
        <v>10</v>
      </c>
      <c r="C48" s="42" t="s">
        <v>41</v>
      </c>
      <c r="D48" s="42" t="s">
        <v>402</v>
      </c>
      <c r="E48" s="42" t="s">
        <v>6</v>
      </c>
      <c r="F48" s="42" t="s">
        <v>440</v>
      </c>
      <c r="G48" s="42" t="s">
        <v>441</v>
      </c>
      <c r="H48" s="43">
        <v>25000</v>
      </c>
      <c r="I48" s="42" t="s">
        <v>356</v>
      </c>
      <c r="J48" s="42" t="s">
        <v>402</v>
      </c>
      <c r="K48" s="43">
        <v>1</v>
      </c>
      <c r="L48" s="42" t="s">
        <v>357</v>
      </c>
      <c r="M48" s="42" t="s">
        <v>442</v>
      </c>
      <c r="N48" s="42" t="s">
        <v>95</v>
      </c>
      <c r="O48" s="42" t="s">
        <v>443</v>
      </c>
      <c r="P48" s="42" t="s">
        <v>359</v>
      </c>
      <c r="Q48" s="42" t="s">
        <v>98</v>
      </c>
      <c r="R48" s="42" t="s">
        <v>98</v>
      </c>
      <c r="S48" s="42" t="s">
        <v>444</v>
      </c>
      <c r="T48" s="42" t="s">
        <v>445</v>
      </c>
      <c r="U48" s="42" t="s">
        <v>446</v>
      </c>
      <c r="V48" s="42" t="s">
        <v>447</v>
      </c>
      <c r="W48" s="42" t="s">
        <v>448</v>
      </c>
      <c r="X48" s="42" t="s">
        <v>104</v>
      </c>
    </row>
    <row r="49" spans="1:24" s="47" customFormat="1" ht="126" x14ac:dyDescent="0.25">
      <c r="A49" s="45" t="s">
        <v>449</v>
      </c>
      <c r="B49" s="53">
        <v>1</v>
      </c>
      <c r="C49" s="45" t="s">
        <v>450</v>
      </c>
      <c r="D49" s="45" t="s">
        <v>451</v>
      </c>
      <c r="E49" s="45" t="s">
        <v>7</v>
      </c>
      <c r="F49" s="45" t="s">
        <v>452</v>
      </c>
      <c r="G49" s="45" t="s">
        <v>453</v>
      </c>
      <c r="H49" s="46"/>
      <c r="I49" s="45" t="s">
        <v>454</v>
      </c>
      <c r="J49" s="46">
        <v>0.4</v>
      </c>
      <c r="K49" s="46">
        <v>1</v>
      </c>
      <c r="L49" s="45" t="s">
        <v>450</v>
      </c>
      <c r="M49" s="45" t="s">
        <v>455</v>
      </c>
      <c r="N49" s="45" t="s">
        <v>95</v>
      </c>
      <c r="O49" s="45" t="s">
        <v>456</v>
      </c>
      <c r="P49" s="45" t="s">
        <v>359</v>
      </c>
      <c r="Q49" s="45" t="s">
        <v>98</v>
      </c>
      <c r="R49" s="45" t="s">
        <v>98</v>
      </c>
      <c r="S49" s="45" t="s">
        <v>457</v>
      </c>
      <c r="T49" s="45" t="s">
        <v>458</v>
      </c>
      <c r="U49" s="45" t="s">
        <v>459</v>
      </c>
      <c r="V49" s="45" t="s">
        <v>460</v>
      </c>
      <c r="W49" s="45" t="s">
        <v>461</v>
      </c>
      <c r="X49" s="45" t="s">
        <v>104</v>
      </c>
    </row>
    <row r="50" spans="1:24" s="47" customFormat="1" ht="78.75" x14ac:dyDescent="0.25">
      <c r="A50" s="45" t="s">
        <v>462</v>
      </c>
      <c r="B50" s="53">
        <v>2</v>
      </c>
      <c r="C50" s="45" t="s">
        <v>450</v>
      </c>
      <c r="D50" s="45" t="s">
        <v>463</v>
      </c>
      <c r="E50" s="45" t="s">
        <v>7</v>
      </c>
      <c r="F50" s="45" t="s">
        <v>464</v>
      </c>
      <c r="G50" s="45" t="s">
        <v>465</v>
      </c>
      <c r="H50" s="46"/>
      <c r="I50" s="45" t="s">
        <v>454</v>
      </c>
      <c r="J50" s="46">
        <v>0.6</v>
      </c>
      <c r="K50" s="46">
        <v>1</v>
      </c>
      <c r="L50" s="45" t="s">
        <v>450</v>
      </c>
      <c r="M50" s="45" t="s">
        <v>466</v>
      </c>
      <c r="N50" s="45" t="s">
        <v>95</v>
      </c>
      <c r="O50" s="45" t="s">
        <v>456</v>
      </c>
      <c r="P50" s="45" t="s">
        <v>359</v>
      </c>
      <c r="Q50" s="45" t="s">
        <v>98</v>
      </c>
      <c r="R50" s="45" t="s">
        <v>98</v>
      </c>
      <c r="S50" s="45" t="s">
        <v>457</v>
      </c>
      <c r="T50" s="45" t="s">
        <v>467</v>
      </c>
      <c r="U50" s="45" t="s">
        <v>468</v>
      </c>
      <c r="V50" s="45" t="s">
        <v>469</v>
      </c>
      <c r="W50" s="45" t="s">
        <v>470</v>
      </c>
      <c r="X50" s="45" t="s">
        <v>104</v>
      </c>
    </row>
    <row r="51" spans="1:24" s="47" customFormat="1" ht="110.25" x14ac:dyDescent="0.25">
      <c r="A51" s="45" t="s">
        <v>471</v>
      </c>
      <c r="B51" s="53">
        <v>3</v>
      </c>
      <c r="C51" s="45" t="s">
        <v>450</v>
      </c>
      <c r="D51" s="45" t="s">
        <v>472</v>
      </c>
      <c r="E51" s="45" t="s">
        <v>7</v>
      </c>
      <c r="F51" s="45" t="s">
        <v>473</v>
      </c>
      <c r="G51" s="45" t="s">
        <v>474</v>
      </c>
      <c r="H51" s="46"/>
      <c r="I51" s="45" t="s">
        <v>454</v>
      </c>
      <c r="J51" s="46">
        <v>0.8</v>
      </c>
      <c r="K51" s="46">
        <v>1</v>
      </c>
      <c r="L51" s="45" t="s">
        <v>450</v>
      </c>
      <c r="M51" s="45" t="s">
        <v>475</v>
      </c>
      <c r="N51" s="45" t="s">
        <v>95</v>
      </c>
      <c r="O51" s="45" t="s">
        <v>456</v>
      </c>
      <c r="P51" s="45" t="s">
        <v>359</v>
      </c>
      <c r="Q51" s="45" t="s">
        <v>98</v>
      </c>
      <c r="R51" s="45" t="s">
        <v>98</v>
      </c>
      <c r="S51" s="45" t="s">
        <v>476</v>
      </c>
      <c r="T51" s="45" t="s">
        <v>477</v>
      </c>
      <c r="U51" s="45" t="s">
        <v>478</v>
      </c>
      <c r="V51" s="45" t="s">
        <v>479</v>
      </c>
      <c r="W51" s="45" t="s">
        <v>480</v>
      </c>
      <c r="X51" s="45" t="s">
        <v>104</v>
      </c>
    </row>
    <row r="52" spans="1:24" s="47" customFormat="1" ht="110.25" x14ac:dyDescent="0.25">
      <c r="A52" s="45" t="s">
        <v>481</v>
      </c>
      <c r="B52" s="53">
        <v>4</v>
      </c>
      <c r="C52" s="45" t="s">
        <v>450</v>
      </c>
      <c r="D52" s="45" t="s">
        <v>482</v>
      </c>
      <c r="E52" s="45" t="s">
        <v>7</v>
      </c>
      <c r="F52" s="45" t="s">
        <v>483</v>
      </c>
      <c r="G52" s="45" t="s">
        <v>484</v>
      </c>
      <c r="H52" s="46"/>
      <c r="I52" s="45" t="s">
        <v>454</v>
      </c>
      <c r="J52" s="46">
        <v>0.9</v>
      </c>
      <c r="K52" s="46">
        <v>1</v>
      </c>
      <c r="L52" s="45" t="s">
        <v>450</v>
      </c>
      <c r="M52" s="45" t="s">
        <v>485</v>
      </c>
      <c r="N52" s="45" t="s">
        <v>95</v>
      </c>
      <c r="O52" s="45" t="s">
        <v>486</v>
      </c>
      <c r="P52" s="45" t="s">
        <v>359</v>
      </c>
      <c r="Q52" s="45" t="s">
        <v>98</v>
      </c>
      <c r="R52" s="45" t="s">
        <v>98</v>
      </c>
      <c r="S52" s="45" t="s">
        <v>476</v>
      </c>
      <c r="T52" s="45" t="s">
        <v>487</v>
      </c>
      <c r="U52" s="45" t="s">
        <v>488</v>
      </c>
      <c r="V52" s="45" t="s">
        <v>489</v>
      </c>
      <c r="W52" s="45" t="s">
        <v>490</v>
      </c>
      <c r="X52" s="45" t="s">
        <v>104</v>
      </c>
    </row>
    <row r="53" spans="1:24" s="47" customFormat="1" ht="110.25" x14ac:dyDescent="0.25">
      <c r="A53" s="45" t="s">
        <v>491</v>
      </c>
      <c r="B53" s="53">
        <v>5</v>
      </c>
      <c r="C53" s="45" t="s">
        <v>450</v>
      </c>
      <c r="D53" s="45" t="s">
        <v>492</v>
      </c>
      <c r="E53" s="45" t="s">
        <v>7</v>
      </c>
      <c r="F53" s="45" t="s">
        <v>493</v>
      </c>
      <c r="G53" s="45" t="s">
        <v>494</v>
      </c>
      <c r="H53" s="46"/>
      <c r="I53" s="45" t="s">
        <v>454</v>
      </c>
      <c r="J53" s="46">
        <v>1</v>
      </c>
      <c r="K53" s="46">
        <v>1</v>
      </c>
      <c r="L53" s="45" t="s">
        <v>450</v>
      </c>
      <c r="M53" s="45" t="s">
        <v>495</v>
      </c>
      <c r="N53" s="45" t="s">
        <v>95</v>
      </c>
      <c r="O53" s="45" t="s">
        <v>496</v>
      </c>
      <c r="P53" s="45" t="s">
        <v>359</v>
      </c>
      <c r="Q53" s="45" t="s">
        <v>98</v>
      </c>
      <c r="R53" s="45" t="s">
        <v>98</v>
      </c>
      <c r="S53" s="45" t="s">
        <v>497</v>
      </c>
      <c r="T53" s="45" t="s">
        <v>498</v>
      </c>
      <c r="U53" s="45" t="s">
        <v>499</v>
      </c>
      <c r="V53" s="45" t="s">
        <v>500</v>
      </c>
      <c r="W53" s="45" t="s">
        <v>501</v>
      </c>
      <c r="X53" s="45" t="s">
        <v>104</v>
      </c>
    </row>
    <row r="54" spans="1:24" s="47" customFormat="1" ht="94.5" x14ac:dyDescent="0.25">
      <c r="A54" s="45" t="s">
        <v>502</v>
      </c>
      <c r="B54" s="53">
        <v>6</v>
      </c>
      <c r="C54" s="45" t="s">
        <v>450</v>
      </c>
      <c r="D54" s="45" t="s">
        <v>503</v>
      </c>
      <c r="E54" s="45" t="s">
        <v>7</v>
      </c>
      <c r="F54" s="45" t="s">
        <v>504</v>
      </c>
      <c r="G54" s="45" t="s">
        <v>505</v>
      </c>
      <c r="H54" s="46"/>
      <c r="I54" s="45" t="s">
        <v>454</v>
      </c>
      <c r="J54" s="46">
        <v>1.05</v>
      </c>
      <c r="K54" s="46">
        <v>1</v>
      </c>
      <c r="L54" s="45" t="s">
        <v>450</v>
      </c>
      <c r="M54" s="45" t="s">
        <v>506</v>
      </c>
      <c r="N54" s="45" t="s">
        <v>95</v>
      </c>
      <c r="O54" s="45" t="s">
        <v>496</v>
      </c>
      <c r="P54" s="45" t="s">
        <v>359</v>
      </c>
      <c r="Q54" s="45" t="s">
        <v>98</v>
      </c>
      <c r="R54" s="45" t="s">
        <v>98</v>
      </c>
      <c r="S54" s="45" t="s">
        <v>507</v>
      </c>
      <c r="T54" s="45" t="s">
        <v>508</v>
      </c>
      <c r="U54" s="45" t="s">
        <v>509</v>
      </c>
      <c r="V54" s="45" t="s">
        <v>510</v>
      </c>
      <c r="W54" s="45" t="s">
        <v>511</v>
      </c>
      <c r="X54" s="45" t="s">
        <v>104</v>
      </c>
    </row>
    <row r="55" spans="1:24" s="47" customFormat="1" ht="110.25" x14ac:dyDescent="0.25">
      <c r="A55" s="45" t="s">
        <v>512</v>
      </c>
      <c r="B55" s="53">
        <v>7</v>
      </c>
      <c r="C55" s="45" t="s">
        <v>450</v>
      </c>
      <c r="D55" s="45" t="s">
        <v>513</v>
      </c>
      <c r="E55" s="45" t="s">
        <v>7</v>
      </c>
      <c r="F55" s="45" t="s">
        <v>514</v>
      </c>
      <c r="G55" s="45" t="s">
        <v>515</v>
      </c>
      <c r="H55" s="46"/>
      <c r="I55" s="45" t="s">
        <v>454</v>
      </c>
      <c r="J55" s="46">
        <v>1.1499999999999999</v>
      </c>
      <c r="K55" s="46">
        <v>1</v>
      </c>
      <c r="L55" s="45" t="s">
        <v>450</v>
      </c>
      <c r="M55" s="45" t="s">
        <v>516</v>
      </c>
      <c r="N55" s="45" t="s">
        <v>95</v>
      </c>
      <c r="O55" s="45" t="s">
        <v>496</v>
      </c>
      <c r="P55" s="45" t="s">
        <v>359</v>
      </c>
      <c r="Q55" s="45" t="s">
        <v>98</v>
      </c>
      <c r="R55" s="45" t="s">
        <v>98</v>
      </c>
      <c r="S55" s="45" t="s">
        <v>507</v>
      </c>
      <c r="T55" s="45" t="s">
        <v>517</v>
      </c>
      <c r="U55" s="45" t="s">
        <v>518</v>
      </c>
      <c r="V55" s="45" t="s">
        <v>519</v>
      </c>
      <c r="W55" s="45" t="s">
        <v>520</v>
      </c>
      <c r="X55" s="45" t="s">
        <v>104</v>
      </c>
    </row>
    <row r="56" spans="1:24" s="47" customFormat="1" ht="94.5" x14ac:dyDescent="0.25">
      <c r="A56" s="45" t="s">
        <v>521</v>
      </c>
      <c r="B56" s="53">
        <v>8</v>
      </c>
      <c r="C56" s="45" t="s">
        <v>450</v>
      </c>
      <c r="D56" s="45" t="s">
        <v>522</v>
      </c>
      <c r="E56" s="45" t="s">
        <v>7</v>
      </c>
      <c r="F56" s="45" t="s">
        <v>523</v>
      </c>
      <c r="G56" s="45" t="s">
        <v>524</v>
      </c>
      <c r="H56" s="46"/>
      <c r="I56" s="45" t="s">
        <v>454</v>
      </c>
      <c r="J56" s="46">
        <v>1.3</v>
      </c>
      <c r="K56" s="46">
        <v>1</v>
      </c>
      <c r="L56" s="45" t="s">
        <v>450</v>
      </c>
      <c r="M56" s="45" t="s">
        <v>525</v>
      </c>
      <c r="N56" s="45" t="s">
        <v>95</v>
      </c>
      <c r="O56" s="45" t="s">
        <v>496</v>
      </c>
      <c r="P56" s="45" t="s">
        <v>359</v>
      </c>
      <c r="Q56" s="45" t="s">
        <v>98</v>
      </c>
      <c r="R56" s="45" t="s">
        <v>98</v>
      </c>
      <c r="S56" s="45" t="s">
        <v>526</v>
      </c>
      <c r="T56" s="45" t="s">
        <v>527</v>
      </c>
      <c r="U56" s="45" t="s">
        <v>528</v>
      </c>
      <c r="V56" s="45" t="s">
        <v>529</v>
      </c>
      <c r="W56" s="45" t="s">
        <v>530</v>
      </c>
      <c r="X56" s="45" t="s">
        <v>104</v>
      </c>
    </row>
    <row r="57" spans="1:24" s="47" customFormat="1" ht="141.75" x14ac:dyDescent="0.25">
      <c r="A57" s="45" t="s">
        <v>531</v>
      </c>
      <c r="B57" s="53">
        <v>9</v>
      </c>
      <c r="C57" s="45" t="s">
        <v>450</v>
      </c>
      <c r="D57" s="45" t="s">
        <v>532</v>
      </c>
      <c r="E57" s="45" t="s">
        <v>7</v>
      </c>
      <c r="F57" s="45" t="s">
        <v>533</v>
      </c>
      <c r="G57" s="45" t="s">
        <v>534</v>
      </c>
      <c r="H57" s="46"/>
      <c r="I57" s="45" t="s">
        <v>454</v>
      </c>
      <c r="J57" s="46">
        <v>1</v>
      </c>
      <c r="K57" s="46">
        <v>1</v>
      </c>
      <c r="L57" s="45" t="s">
        <v>450</v>
      </c>
      <c r="M57" s="45" t="s">
        <v>535</v>
      </c>
      <c r="N57" s="45" t="s">
        <v>95</v>
      </c>
      <c r="O57" s="45" t="s">
        <v>496</v>
      </c>
      <c r="P57" s="45" t="s">
        <v>359</v>
      </c>
      <c r="Q57" s="45" t="s">
        <v>98</v>
      </c>
      <c r="R57" s="45" t="s">
        <v>98</v>
      </c>
      <c r="S57" s="45" t="s">
        <v>536</v>
      </c>
      <c r="T57" s="45" t="s">
        <v>537</v>
      </c>
      <c r="U57" s="45" t="s">
        <v>538</v>
      </c>
      <c r="V57" s="45" t="s">
        <v>539</v>
      </c>
      <c r="W57" s="45" t="s">
        <v>540</v>
      </c>
      <c r="X57" s="45" t="s">
        <v>104</v>
      </c>
    </row>
    <row r="58" spans="1:24" s="47" customFormat="1" ht="126" x14ac:dyDescent="0.25">
      <c r="A58" s="45" t="s">
        <v>541</v>
      </c>
      <c r="B58" s="53">
        <v>10</v>
      </c>
      <c r="C58" s="45" t="s">
        <v>450</v>
      </c>
      <c r="D58" s="45" t="s">
        <v>95</v>
      </c>
      <c r="E58" s="45" t="s">
        <v>7</v>
      </c>
      <c r="F58" s="45" t="s">
        <v>542</v>
      </c>
      <c r="G58" s="45" t="s">
        <v>543</v>
      </c>
      <c r="H58" s="46"/>
      <c r="I58" s="45" t="s">
        <v>454</v>
      </c>
      <c r="J58" s="46">
        <v>0</v>
      </c>
      <c r="K58" s="46">
        <v>1</v>
      </c>
      <c r="L58" s="45" t="s">
        <v>450</v>
      </c>
      <c r="M58" s="45" t="s">
        <v>544</v>
      </c>
      <c r="N58" s="45" t="s">
        <v>95</v>
      </c>
      <c r="O58" s="45" t="s">
        <v>545</v>
      </c>
      <c r="P58" s="45" t="s">
        <v>359</v>
      </c>
      <c r="Q58" s="45" t="s">
        <v>98</v>
      </c>
      <c r="R58" s="45" t="s">
        <v>98</v>
      </c>
      <c r="S58" s="45" t="s">
        <v>546</v>
      </c>
      <c r="T58" s="45" t="s">
        <v>547</v>
      </c>
      <c r="U58" s="45" t="s">
        <v>548</v>
      </c>
      <c r="V58" s="45" t="s">
        <v>549</v>
      </c>
      <c r="W58" s="45" t="s">
        <v>550</v>
      </c>
      <c r="X58" s="45" t="s">
        <v>104</v>
      </c>
    </row>
    <row r="59" spans="1:24" s="48" customFormat="1" x14ac:dyDescent="0.25">
      <c r="A59" s="48" t="s">
        <v>551</v>
      </c>
      <c r="B59" s="54">
        <v>1</v>
      </c>
      <c r="C59" s="48" t="s">
        <v>552</v>
      </c>
      <c r="D59" s="48" t="s">
        <v>553</v>
      </c>
      <c r="E59" s="48" t="s">
        <v>554</v>
      </c>
      <c r="F59" s="48" t="s">
        <v>555</v>
      </c>
      <c r="G59" s="48" t="s">
        <v>556</v>
      </c>
      <c r="H59" s="48">
        <v>7500</v>
      </c>
      <c r="I59" s="48" t="s">
        <v>557</v>
      </c>
      <c r="J59" s="48">
        <v>7500</v>
      </c>
      <c r="K59" s="48">
        <v>1</v>
      </c>
      <c r="L59" s="48" t="s">
        <v>558</v>
      </c>
      <c r="M59" s="48" t="s">
        <v>559</v>
      </c>
      <c r="N59" s="48" t="s">
        <v>560</v>
      </c>
      <c r="O59" s="48" t="s">
        <v>560</v>
      </c>
      <c r="P59" s="48" t="s">
        <v>561</v>
      </c>
      <c r="Q59" s="48" t="s">
        <v>562</v>
      </c>
      <c r="R59" s="48" t="s">
        <v>562</v>
      </c>
      <c r="S59" s="48" t="s">
        <v>563</v>
      </c>
      <c r="T59" s="48" t="s">
        <v>564</v>
      </c>
      <c r="U59" s="48" t="s">
        <v>565</v>
      </c>
      <c r="V59" s="48" t="s">
        <v>566</v>
      </c>
      <c r="W59" s="48" t="s">
        <v>567</v>
      </c>
      <c r="X59" s="48" t="s">
        <v>568</v>
      </c>
    </row>
    <row r="60" spans="1:24" s="48" customFormat="1" x14ac:dyDescent="0.25">
      <c r="A60" s="48" t="s">
        <v>569</v>
      </c>
      <c r="B60" s="54">
        <v>2</v>
      </c>
      <c r="C60" s="48" t="s">
        <v>552</v>
      </c>
      <c r="D60" s="48" t="s">
        <v>553</v>
      </c>
      <c r="E60" s="48" t="s">
        <v>554</v>
      </c>
      <c r="F60" s="48" t="s">
        <v>570</v>
      </c>
      <c r="G60" s="48" t="s">
        <v>571</v>
      </c>
      <c r="H60" s="48">
        <v>10000</v>
      </c>
      <c r="I60" s="48" t="s">
        <v>572</v>
      </c>
      <c r="J60" s="48">
        <v>10000</v>
      </c>
      <c r="K60" s="48">
        <v>1</v>
      </c>
      <c r="L60" s="48" t="s">
        <v>573</v>
      </c>
      <c r="M60" s="48" t="s">
        <v>574</v>
      </c>
      <c r="N60" s="48" t="s">
        <v>575</v>
      </c>
      <c r="O60" s="48" t="s">
        <v>576</v>
      </c>
      <c r="P60" s="48" t="s">
        <v>561</v>
      </c>
      <c r="Q60" s="48" t="s">
        <v>562</v>
      </c>
      <c r="R60" s="48" t="s">
        <v>562</v>
      </c>
      <c r="S60" s="48" t="s">
        <v>577</v>
      </c>
      <c r="T60" s="48" t="s">
        <v>578</v>
      </c>
      <c r="U60" s="48" t="s">
        <v>579</v>
      </c>
      <c r="V60" s="48" t="s">
        <v>580</v>
      </c>
      <c r="W60" s="48" t="s">
        <v>581</v>
      </c>
      <c r="X60" s="48" t="s">
        <v>568</v>
      </c>
    </row>
    <row r="61" spans="1:24" s="48" customFormat="1" x14ac:dyDescent="0.25">
      <c r="A61" s="48" t="s">
        <v>582</v>
      </c>
      <c r="B61" s="54">
        <v>3</v>
      </c>
      <c r="C61" s="48" t="s">
        <v>552</v>
      </c>
      <c r="D61" s="48" t="s">
        <v>583</v>
      </c>
      <c r="E61" s="48" t="s">
        <v>554</v>
      </c>
      <c r="F61" s="48" t="s">
        <v>584</v>
      </c>
      <c r="G61" s="48" t="s">
        <v>585</v>
      </c>
      <c r="H61" s="48">
        <v>25000</v>
      </c>
      <c r="I61" s="48" t="s">
        <v>586</v>
      </c>
      <c r="J61" s="48">
        <v>25000</v>
      </c>
      <c r="K61" s="48">
        <v>1</v>
      </c>
      <c r="L61" s="48" t="s">
        <v>587</v>
      </c>
      <c r="M61" s="48" t="s">
        <v>588</v>
      </c>
      <c r="N61" s="48" t="s">
        <v>560</v>
      </c>
      <c r="O61" s="48" t="s">
        <v>560</v>
      </c>
      <c r="P61" s="48" t="s">
        <v>561</v>
      </c>
      <c r="Q61" s="48" t="s">
        <v>562</v>
      </c>
      <c r="R61" s="48" t="s">
        <v>562</v>
      </c>
      <c r="S61" s="48" t="s">
        <v>589</v>
      </c>
      <c r="T61" s="48" t="s">
        <v>590</v>
      </c>
      <c r="U61" s="48" t="s">
        <v>591</v>
      </c>
      <c r="V61" s="48" t="s">
        <v>592</v>
      </c>
      <c r="W61" s="48" t="s">
        <v>593</v>
      </c>
      <c r="X61" s="48" t="s">
        <v>568</v>
      </c>
    </row>
    <row r="62" spans="1:24" s="48" customFormat="1" x14ac:dyDescent="0.25">
      <c r="A62" s="48" t="s">
        <v>594</v>
      </c>
      <c r="B62" s="54">
        <v>4</v>
      </c>
      <c r="C62" s="48" t="s">
        <v>552</v>
      </c>
      <c r="D62" s="48" t="s">
        <v>595</v>
      </c>
      <c r="E62" s="48" t="s">
        <v>554</v>
      </c>
      <c r="F62" s="48" t="s">
        <v>596</v>
      </c>
      <c r="G62" s="48" t="s">
        <v>597</v>
      </c>
      <c r="H62" s="48">
        <v>5000</v>
      </c>
      <c r="I62" s="48" t="s">
        <v>598</v>
      </c>
      <c r="J62" s="48">
        <v>5000</v>
      </c>
      <c r="K62" s="48">
        <v>1</v>
      </c>
      <c r="L62" s="48" t="s">
        <v>599</v>
      </c>
      <c r="M62" s="48" t="s">
        <v>600</v>
      </c>
      <c r="N62" s="48" t="s">
        <v>560</v>
      </c>
      <c r="O62" s="48" t="s">
        <v>601</v>
      </c>
      <c r="P62" s="48" t="s">
        <v>561</v>
      </c>
      <c r="Q62" s="48" t="s">
        <v>568</v>
      </c>
      <c r="R62" s="48" t="s">
        <v>562</v>
      </c>
      <c r="S62" s="48" t="s">
        <v>602</v>
      </c>
      <c r="T62" s="48" t="s">
        <v>603</v>
      </c>
      <c r="U62" s="48" t="s">
        <v>604</v>
      </c>
      <c r="V62" s="48" t="s">
        <v>605</v>
      </c>
      <c r="W62" s="48" t="s">
        <v>606</v>
      </c>
      <c r="X62" s="48" t="s">
        <v>568</v>
      </c>
    </row>
    <row r="63" spans="1:24" s="48" customFormat="1" x14ac:dyDescent="0.25">
      <c r="A63" s="48" t="s">
        <v>607</v>
      </c>
      <c r="B63" s="54">
        <v>5</v>
      </c>
      <c r="C63" s="48" t="s">
        <v>552</v>
      </c>
      <c r="D63" s="48" t="s">
        <v>608</v>
      </c>
      <c r="E63" s="48" t="s">
        <v>554</v>
      </c>
      <c r="F63" s="48" t="s">
        <v>609</v>
      </c>
      <c r="G63" s="48" t="s">
        <v>610</v>
      </c>
      <c r="H63" s="48">
        <v>4000</v>
      </c>
      <c r="I63" s="48" t="s">
        <v>611</v>
      </c>
      <c r="J63" s="48">
        <v>4000</v>
      </c>
      <c r="K63" s="48">
        <v>1</v>
      </c>
      <c r="L63" s="48" t="s">
        <v>612</v>
      </c>
      <c r="M63" s="48" t="s">
        <v>613</v>
      </c>
      <c r="N63" s="48" t="s">
        <v>560</v>
      </c>
      <c r="O63" s="48" t="s">
        <v>614</v>
      </c>
      <c r="P63" s="48" t="s">
        <v>561</v>
      </c>
      <c r="Q63" s="48" t="s">
        <v>562</v>
      </c>
      <c r="R63" s="48" t="s">
        <v>562</v>
      </c>
      <c r="S63" s="48" t="s">
        <v>615</v>
      </c>
      <c r="T63" s="48" t="s">
        <v>616</v>
      </c>
      <c r="U63" s="48" t="s">
        <v>617</v>
      </c>
      <c r="V63" s="48" t="s">
        <v>618</v>
      </c>
      <c r="W63" s="48" t="s">
        <v>619</v>
      </c>
      <c r="X63" s="48" t="s">
        <v>568</v>
      </c>
    </row>
    <row r="64" spans="1:24" s="48" customFormat="1" x14ac:dyDescent="0.25">
      <c r="A64" s="48" t="s">
        <v>620</v>
      </c>
      <c r="B64" s="54">
        <v>6</v>
      </c>
      <c r="C64" s="48" t="s">
        <v>552</v>
      </c>
      <c r="D64" s="48" t="s">
        <v>621</v>
      </c>
      <c r="E64" s="48" t="s">
        <v>554</v>
      </c>
      <c r="F64" s="48" t="s">
        <v>622</v>
      </c>
      <c r="G64" s="48" t="s">
        <v>623</v>
      </c>
      <c r="H64" s="48" t="s">
        <v>624</v>
      </c>
      <c r="I64" s="48" t="s">
        <v>625</v>
      </c>
      <c r="J64" s="48">
        <v>1</v>
      </c>
      <c r="K64" s="48">
        <v>1</v>
      </c>
      <c r="L64" s="48" t="s">
        <v>621</v>
      </c>
      <c r="M64" s="48" t="s">
        <v>626</v>
      </c>
      <c r="N64" s="48" t="s">
        <v>627</v>
      </c>
      <c r="O64" s="48" t="s">
        <v>628</v>
      </c>
      <c r="P64" s="48" t="s">
        <v>629</v>
      </c>
      <c r="Q64" s="48" t="s">
        <v>562</v>
      </c>
      <c r="R64" s="48" t="s">
        <v>562</v>
      </c>
      <c r="S64" s="48" t="s">
        <v>630</v>
      </c>
      <c r="T64" s="48" t="s">
        <v>631</v>
      </c>
      <c r="U64" s="48" t="s">
        <v>632</v>
      </c>
      <c r="V64" s="48" t="s">
        <v>633</v>
      </c>
      <c r="W64" s="48" t="s">
        <v>634</v>
      </c>
      <c r="X64" s="48" t="s">
        <v>568</v>
      </c>
    </row>
    <row r="65" spans="1:24" s="48" customFormat="1" x14ac:dyDescent="0.25">
      <c r="A65" s="48" t="s">
        <v>635</v>
      </c>
      <c r="B65" s="54">
        <v>7</v>
      </c>
      <c r="C65" s="48" t="s">
        <v>552</v>
      </c>
      <c r="D65" s="48" t="s">
        <v>636</v>
      </c>
      <c r="E65" s="48" t="s">
        <v>554</v>
      </c>
      <c r="F65" s="48" t="s">
        <v>637</v>
      </c>
      <c r="G65" s="48" t="s">
        <v>638</v>
      </c>
      <c r="H65" s="48">
        <v>10000</v>
      </c>
      <c r="I65" s="48" t="s">
        <v>639</v>
      </c>
      <c r="J65" s="48">
        <v>500</v>
      </c>
      <c r="K65" s="48" t="s">
        <v>640</v>
      </c>
      <c r="L65" s="48" t="s">
        <v>641</v>
      </c>
      <c r="M65" s="48" t="s">
        <v>642</v>
      </c>
      <c r="N65" s="48" t="s">
        <v>560</v>
      </c>
      <c r="O65" s="48" t="s">
        <v>643</v>
      </c>
      <c r="P65" s="48" t="s">
        <v>561</v>
      </c>
      <c r="Q65" s="48" t="s">
        <v>562</v>
      </c>
      <c r="R65" s="48" t="s">
        <v>568</v>
      </c>
      <c r="S65" s="48" t="s">
        <v>644</v>
      </c>
      <c r="T65" s="48" t="s">
        <v>645</v>
      </c>
      <c r="U65" s="48" t="s">
        <v>646</v>
      </c>
      <c r="V65" s="48" t="s">
        <v>647</v>
      </c>
      <c r="W65" s="48" t="s">
        <v>648</v>
      </c>
      <c r="X65" s="48" t="s">
        <v>568</v>
      </c>
    </row>
    <row r="66" spans="1:24" s="48" customFormat="1" x14ac:dyDescent="0.25">
      <c r="A66" s="48" t="s">
        <v>649</v>
      </c>
      <c r="B66" s="54">
        <v>8</v>
      </c>
      <c r="C66" s="48" t="s">
        <v>552</v>
      </c>
      <c r="D66" s="48" t="s">
        <v>636</v>
      </c>
      <c r="E66" s="48" t="s">
        <v>554</v>
      </c>
      <c r="F66" s="48" t="s">
        <v>650</v>
      </c>
      <c r="G66" s="48" t="s">
        <v>651</v>
      </c>
      <c r="H66" s="48">
        <v>25000</v>
      </c>
      <c r="I66" s="48" t="s">
        <v>639</v>
      </c>
      <c r="J66" s="48">
        <v>1000</v>
      </c>
      <c r="K66" s="48" t="s">
        <v>640</v>
      </c>
      <c r="L66" s="48" t="s">
        <v>641</v>
      </c>
      <c r="M66" s="48" t="s">
        <v>652</v>
      </c>
      <c r="N66" s="48" t="s">
        <v>560</v>
      </c>
      <c r="O66" s="48" t="s">
        <v>653</v>
      </c>
      <c r="P66" s="48" t="s">
        <v>561</v>
      </c>
      <c r="Q66" s="48" t="s">
        <v>562</v>
      </c>
      <c r="R66" s="48" t="s">
        <v>568</v>
      </c>
      <c r="S66" s="48" t="s">
        <v>654</v>
      </c>
      <c r="T66" s="48" t="s">
        <v>655</v>
      </c>
      <c r="U66" s="48" t="s">
        <v>656</v>
      </c>
      <c r="V66" s="48" t="s">
        <v>657</v>
      </c>
      <c r="W66" s="48" t="s">
        <v>658</v>
      </c>
      <c r="X66" s="48" t="s">
        <v>568</v>
      </c>
    </row>
    <row r="67" spans="1:24" s="48" customFormat="1" x14ac:dyDescent="0.25">
      <c r="A67" s="48" t="s">
        <v>659</v>
      </c>
      <c r="B67" s="54">
        <v>9</v>
      </c>
      <c r="C67" s="48" t="s">
        <v>552</v>
      </c>
      <c r="D67" s="48" t="s">
        <v>636</v>
      </c>
      <c r="E67" s="48" t="s">
        <v>554</v>
      </c>
      <c r="F67" s="48" t="s">
        <v>660</v>
      </c>
      <c r="G67" s="48" t="s">
        <v>661</v>
      </c>
      <c r="H67" s="48">
        <v>50000</v>
      </c>
      <c r="I67" s="48" t="s">
        <v>639</v>
      </c>
      <c r="J67" s="48">
        <v>2000</v>
      </c>
      <c r="K67" s="48" t="s">
        <v>640</v>
      </c>
      <c r="L67" s="48" t="s">
        <v>641</v>
      </c>
      <c r="M67" s="48" t="s">
        <v>662</v>
      </c>
      <c r="N67" s="48" t="s">
        <v>560</v>
      </c>
      <c r="O67" s="48" t="s">
        <v>653</v>
      </c>
      <c r="P67" s="48" t="s">
        <v>561</v>
      </c>
      <c r="Q67" s="48" t="s">
        <v>562</v>
      </c>
      <c r="R67" s="48" t="s">
        <v>568</v>
      </c>
      <c r="S67" s="48" t="s">
        <v>663</v>
      </c>
      <c r="T67" s="48" t="s">
        <v>664</v>
      </c>
      <c r="U67" s="48" t="s">
        <v>665</v>
      </c>
      <c r="V67" s="48" t="s">
        <v>666</v>
      </c>
      <c r="W67" s="48" t="s">
        <v>667</v>
      </c>
      <c r="X67" s="48" t="s">
        <v>568</v>
      </c>
    </row>
    <row r="68" spans="1:24" s="48" customFormat="1" x14ac:dyDescent="0.25">
      <c r="A68" s="48" t="s">
        <v>668</v>
      </c>
      <c r="B68" s="54">
        <v>10</v>
      </c>
      <c r="C68" s="48" t="s">
        <v>552</v>
      </c>
      <c r="D68" s="48" t="s">
        <v>636</v>
      </c>
      <c r="E68" s="48" t="s">
        <v>554</v>
      </c>
      <c r="F68" s="48" t="s">
        <v>669</v>
      </c>
      <c r="G68" s="48" t="s">
        <v>670</v>
      </c>
      <c r="H68" s="48">
        <v>100000</v>
      </c>
      <c r="I68" s="48" t="s">
        <v>639</v>
      </c>
      <c r="J68" s="48">
        <v>4000</v>
      </c>
      <c r="K68" s="48" t="s">
        <v>640</v>
      </c>
      <c r="L68" s="48" t="s">
        <v>641</v>
      </c>
      <c r="M68" s="48" t="s">
        <v>671</v>
      </c>
      <c r="N68" s="48" t="s">
        <v>560</v>
      </c>
      <c r="O68" s="48" t="s">
        <v>653</v>
      </c>
      <c r="P68" s="48" t="s">
        <v>561</v>
      </c>
      <c r="Q68" s="48" t="s">
        <v>562</v>
      </c>
      <c r="R68" s="48" t="s">
        <v>568</v>
      </c>
      <c r="S68" s="48" t="s">
        <v>672</v>
      </c>
      <c r="T68" s="48" t="s">
        <v>673</v>
      </c>
      <c r="U68" s="48" t="s">
        <v>674</v>
      </c>
      <c r="V68" s="48" t="s">
        <v>675</v>
      </c>
      <c r="W68" s="48" t="s">
        <v>676</v>
      </c>
      <c r="X68" s="48" t="s">
        <v>568</v>
      </c>
    </row>
    <row r="69" spans="1:24" s="51" customFormat="1" ht="94.5" x14ac:dyDescent="0.25">
      <c r="A69" s="49" t="s">
        <v>677</v>
      </c>
      <c r="B69" s="55">
        <v>1</v>
      </c>
      <c r="C69" s="49" t="s">
        <v>678</v>
      </c>
      <c r="D69" s="49" t="s">
        <v>679</v>
      </c>
      <c r="E69" s="49" t="s">
        <v>680</v>
      </c>
      <c r="F69" s="49" t="s">
        <v>681</v>
      </c>
      <c r="G69" s="49" t="s">
        <v>682</v>
      </c>
      <c r="H69" s="50"/>
      <c r="I69" s="49" t="s">
        <v>683</v>
      </c>
      <c r="J69" s="50">
        <v>0</v>
      </c>
      <c r="K69" s="50">
        <v>1</v>
      </c>
      <c r="L69" s="49" t="s">
        <v>684</v>
      </c>
      <c r="M69" s="49" t="s">
        <v>685</v>
      </c>
      <c r="N69" s="49" t="s">
        <v>686</v>
      </c>
      <c r="O69" s="49" t="s">
        <v>95</v>
      </c>
      <c r="P69" s="49" t="s">
        <v>687</v>
      </c>
      <c r="Q69" s="49" t="s">
        <v>98</v>
      </c>
      <c r="R69" s="49" t="s">
        <v>98</v>
      </c>
      <c r="S69" s="49" t="s">
        <v>688</v>
      </c>
      <c r="T69" s="49" t="s">
        <v>689</v>
      </c>
      <c r="U69" s="49" t="s">
        <v>690</v>
      </c>
      <c r="V69" s="49" t="s">
        <v>691</v>
      </c>
      <c r="W69" s="49" t="s">
        <v>692</v>
      </c>
      <c r="X69" s="49" t="s">
        <v>104</v>
      </c>
    </row>
    <row r="70" spans="1:24" s="51" customFormat="1" ht="110.25" x14ac:dyDescent="0.25">
      <c r="A70" s="49" t="s">
        <v>693</v>
      </c>
      <c r="B70" s="55">
        <v>2</v>
      </c>
      <c r="C70" s="49" t="s">
        <v>678</v>
      </c>
      <c r="D70" s="49" t="s">
        <v>694</v>
      </c>
      <c r="E70" s="49" t="s">
        <v>680</v>
      </c>
      <c r="F70" s="49" t="s">
        <v>695</v>
      </c>
      <c r="G70" s="49" t="s">
        <v>696</v>
      </c>
      <c r="H70" s="50"/>
      <c r="I70" s="49" t="s">
        <v>697</v>
      </c>
      <c r="J70" s="50">
        <v>0</v>
      </c>
      <c r="K70" s="50">
        <v>1</v>
      </c>
      <c r="L70" s="49" t="s">
        <v>698</v>
      </c>
      <c r="M70" s="49" t="s">
        <v>699</v>
      </c>
      <c r="N70" s="49" t="s">
        <v>686</v>
      </c>
      <c r="O70" s="49" t="s">
        <v>95</v>
      </c>
      <c r="P70" s="49" t="s">
        <v>687</v>
      </c>
      <c r="Q70" s="49" t="s">
        <v>98</v>
      </c>
      <c r="R70" s="49" t="s">
        <v>98</v>
      </c>
      <c r="S70" s="49" t="s">
        <v>698</v>
      </c>
      <c r="T70" s="49" t="s">
        <v>700</v>
      </c>
      <c r="U70" s="49" t="s">
        <v>701</v>
      </c>
      <c r="V70" s="49" t="s">
        <v>702</v>
      </c>
      <c r="W70" s="49" t="s">
        <v>703</v>
      </c>
      <c r="X70" s="49" t="s">
        <v>104</v>
      </c>
    </row>
    <row r="71" spans="1:24" s="51" customFormat="1" ht="110.25" x14ac:dyDescent="0.25">
      <c r="A71" s="49" t="s">
        <v>704</v>
      </c>
      <c r="B71" s="55">
        <v>3</v>
      </c>
      <c r="C71" s="49" t="s">
        <v>678</v>
      </c>
      <c r="D71" s="49" t="s">
        <v>705</v>
      </c>
      <c r="E71" s="49" t="s">
        <v>680</v>
      </c>
      <c r="F71" s="49" t="s">
        <v>706</v>
      </c>
      <c r="G71" s="49" t="s">
        <v>707</v>
      </c>
      <c r="H71" s="50"/>
      <c r="I71" s="49" t="s">
        <v>708</v>
      </c>
      <c r="J71" s="50">
        <v>1</v>
      </c>
      <c r="K71" s="50">
        <v>1</v>
      </c>
      <c r="L71" s="49" t="s">
        <v>709</v>
      </c>
      <c r="M71" s="49" t="s">
        <v>710</v>
      </c>
      <c r="N71" s="49" t="s">
        <v>711</v>
      </c>
      <c r="O71" s="49" t="s">
        <v>95</v>
      </c>
      <c r="P71" s="49" t="s">
        <v>687</v>
      </c>
      <c r="Q71" s="49" t="s">
        <v>98</v>
      </c>
      <c r="R71" s="49" t="s">
        <v>98</v>
      </c>
      <c r="S71" s="49" t="s">
        <v>712</v>
      </c>
      <c r="T71" s="49" t="s">
        <v>713</v>
      </c>
      <c r="U71" s="49" t="s">
        <v>714</v>
      </c>
      <c r="V71" s="49" t="s">
        <v>715</v>
      </c>
      <c r="W71" s="49" t="s">
        <v>716</v>
      </c>
      <c r="X71" s="49" t="s">
        <v>104</v>
      </c>
    </row>
    <row r="72" spans="1:24" s="51" customFormat="1" ht="110.25" x14ac:dyDescent="0.25">
      <c r="A72" s="49" t="s">
        <v>717</v>
      </c>
      <c r="B72" s="55">
        <v>4</v>
      </c>
      <c r="C72" s="49" t="s">
        <v>678</v>
      </c>
      <c r="D72" s="49" t="s">
        <v>41</v>
      </c>
      <c r="E72" s="49" t="s">
        <v>680</v>
      </c>
      <c r="F72" s="49" t="s">
        <v>718</v>
      </c>
      <c r="G72" s="49" t="s">
        <v>719</v>
      </c>
      <c r="H72" s="50"/>
      <c r="I72" s="49" t="s">
        <v>720</v>
      </c>
      <c r="J72" s="50">
        <v>2500</v>
      </c>
      <c r="K72" s="50">
        <v>1</v>
      </c>
      <c r="L72" s="49" t="s">
        <v>341</v>
      </c>
      <c r="M72" s="49" t="s">
        <v>721</v>
      </c>
      <c r="N72" s="49" t="s">
        <v>722</v>
      </c>
      <c r="O72" s="49" t="s">
        <v>95</v>
      </c>
      <c r="P72" s="49" t="s">
        <v>687</v>
      </c>
      <c r="Q72" s="49" t="s">
        <v>98</v>
      </c>
      <c r="R72" s="49" t="s">
        <v>98</v>
      </c>
      <c r="S72" s="49" t="s">
        <v>723</v>
      </c>
      <c r="T72" s="49" t="s">
        <v>724</v>
      </c>
      <c r="U72" s="49" t="s">
        <v>725</v>
      </c>
      <c r="V72" s="49" t="s">
        <v>726</v>
      </c>
      <c r="W72" s="49" t="s">
        <v>727</v>
      </c>
      <c r="X72" s="49" t="s">
        <v>104</v>
      </c>
    </row>
    <row r="73" spans="1:24" s="51" customFormat="1" ht="141.75" x14ac:dyDescent="0.25">
      <c r="A73" s="49" t="s">
        <v>728</v>
      </c>
      <c r="B73" s="55">
        <v>5</v>
      </c>
      <c r="C73" s="49" t="s">
        <v>678</v>
      </c>
      <c r="D73" s="49" t="s">
        <v>41</v>
      </c>
      <c r="E73" s="49" t="s">
        <v>680</v>
      </c>
      <c r="F73" s="49" t="s">
        <v>729</v>
      </c>
      <c r="G73" s="49" t="s">
        <v>730</v>
      </c>
      <c r="H73" s="50"/>
      <c r="I73" s="49" t="s">
        <v>731</v>
      </c>
      <c r="J73" s="50">
        <v>1</v>
      </c>
      <c r="K73" s="50">
        <v>1</v>
      </c>
      <c r="L73" s="49" t="s">
        <v>357</v>
      </c>
      <c r="M73" s="49" t="s">
        <v>732</v>
      </c>
      <c r="N73" s="49" t="s">
        <v>722</v>
      </c>
      <c r="O73" s="49" t="s">
        <v>95</v>
      </c>
      <c r="P73" s="49" t="s">
        <v>687</v>
      </c>
      <c r="Q73" s="49" t="s">
        <v>98</v>
      </c>
      <c r="R73" s="49" t="s">
        <v>98</v>
      </c>
      <c r="S73" s="49" t="s">
        <v>357</v>
      </c>
      <c r="T73" s="49" t="s">
        <v>733</v>
      </c>
      <c r="U73" s="49" t="s">
        <v>734</v>
      </c>
      <c r="V73" s="49" t="s">
        <v>735</v>
      </c>
      <c r="W73" s="49" t="s">
        <v>736</v>
      </c>
      <c r="X73" s="49" t="s">
        <v>104</v>
      </c>
    </row>
    <row r="74" spans="1:24" s="51" customFormat="1" ht="126" x14ac:dyDescent="0.25">
      <c r="A74" s="49" t="s">
        <v>737</v>
      </c>
      <c r="B74" s="55">
        <v>6</v>
      </c>
      <c r="C74" s="49" t="s">
        <v>678</v>
      </c>
      <c r="D74" s="49" t="s">
        <v>738</v>
      </c>
      <c r="E74" s="49" t="s">
        <v>680</v>
      </c>
      <c r="F74" s="49" t="s">
        <v>739</v>
      </c>
      <c r="G74" s="49" t="s">
        <v>740</v>
      </c>
      <c r="H74" s="50">
        <v>5000</v>
      </c>
      <c r="I74" s="49" t="s">
        <v>741</v>
      </c>
      <c r="J74" s="50">
        <v>5000</v>
      </c>
      <c r="K74" s="50">
        <v>1</v>
      </c>
      <c r="L74" s="49" t="s">
        <v>742</v>
      </c>
      <c r="M74" s="49" t="s">
        <v>743</v>
      </c>
      <c r="N74" s="49" t="s">
        <v>722</v>
      </c>
      <c r="O74" s="49" t="s">
        <v>95</v>
      </c>
      <c r="P74" s="49" t="s">
        <v>687</v>
      </c>
      <c r="Q74" s="49" t="s">
        <v>98</v>
      </c>
      <c r="R74" s="49" t="s">
        <v>98</v>
      </c>
      <c r="S74" s="49" t="s">
        <v>744</v>
      </c>
      <c r="T74" s="49" t="s">
        <v>745</v>
      </c>
      <c r="U74" s="49" t="s">
        <v>746</v>
      </c>
      <c r="V74" s="49" t="s">
        <v>747</v>
      </c>
      <c r="W74" s="49" t="s">
        <v>748</v>
      </c>
      <c r="X74" s="49" t="s">
        <v>104</v>
      </c>
    </row>
    <row r="75" spans="1:24" s="51" customFormat="1" ht="126" x14ac:dyDescent="0.25">
      <c r="A75" s="49" t="s">
        <v>749</v>
      </c>
      <c r="B75" s="55">
        <v>7</v>
      </c>
      <c r="C75" s="49" t="s">
        <v>678</v>
      </c>
      <c r="D75" s="49" t="s">
        <v>750</v>
      </c>
      <c r="E75" s="49" t="s">
        <v>680</v>
      </c>
      <c r="F75" s="49" t="s">
        <v>751</v>
      </c>
      <c r="G75" s="49" t="s">
        <v>752</v>
      </c>
      <c r="H75" s="50">
        <v>4000</v>
      </c>
      <c r="I75" s="49" t="s">
        <v>753</v>
      </c>
      <c r="J75" s="50">
        <v>4000</v>
      </c>
      <c r="K75" s="50">
        <v>1</v>
      </c>
      <c r="L75" s="49" t="s">
        <v>163</v>
      </c>
      <c r="M75" s="49" t="s">
        <v>754</v>
      </c>
      <c r="N75" s="49" t="s">
        <v>722</v>
      </c>
      <c r="O75" s="49" t="s">
        <v>95</v>
      </c>
      <c r="P75" s="49" t="s">
        <v>687</v>
      </c>
      <c r="Q75" s="49" t="s">
        <v>98</v>
      </c>
      <c r="R75" s="49" t="s">
        <v>98</v>
      </c>
      <c r="S75" s="49" t="s">
        <v>755</v>
      </c>
      <c r="T75" s="49" t="s">
        <v>756</v>
      </c>
      <c r="U75" s="49" t="s">
        <v>757</v>
      </c>
      <c r="V75" s="49" t="s">
        <v>758</v>
      </c>
      <c r="W75" s="49" t="s">
        <v>759</v>
      </c>
      <c r="X75" s="49" t="s">
        <v>104</v>
      </c>
    </row>
    <row r="76" spans="1:24" s="51" customFormat="1" ht="141.75" x14ac:dyDescent="0.25">
      <c r="A76" s="49" t="s">
        <v>760</v>
      </c>
      <c r="B76" s="55">
        <v>8</v>
      </c>
      <c r="C76" s="49" t="s">
        <v>678</v>
      </c>
      <c r="D76" s="49" t="s">
        <v>761</v>
      </c>
      <c r="E76" s="49" t="s">
        <v>680</v>
      </c>
      <c r="F76" s="49" t="s">
        <v>762</v>
      </c>
      <c r="G76" s="49" t="s">
        <v>763</v>
      </c>
      <c r="H76" s="50"/>
      <c r="I76" s="49" t="s">
        <v>764</v>
      </c>
      <c r="J76" s="50">
        <v>1</v>
      </c>
      <c r="K76" s="50">
        <v>1</v>
      </c>
      <c r="L76" s="49" t="s">
        <v>765</v>
      </c>
      <c r="M76" s="49" t="s">
        <v>766</v>
      </c>
      <c r="N76" s="49" t="s">
        <v>767</v>
      </c>
      <c r="O76" s="49" t="s">
        <v>768</v>
      </c>
      <c r="P76" s="49" t="s">
        <v>687</v>
      </c>
      <c r="Q76" s="49" t="s">
        <v>98</v>
      </c>
      <c r="R76" s="49" t="s">
        <v>98</v>
      </c>
      <c r="S76" s="49" t="s">
        <v>769</v>
      </c>
      <c r="T76" s="49" t="s">
        <v>770</v>
      </c>
      <c r="U76" s="49" t="s">
        <v>771</v>
      </c>
      <c r="V76" s="49" t="s">
        <v>772</v>
      </c>
      <c r="W76" s="49" t="s">
        <v>773</v>
      </c>
      <c r="X76" s="49" t="s">
        <v>104</v>
      </c>
    </row>
  </sheetData>
  <autoFilter ref="A2:Y2" xr:uid="{7F8C92C3-7488-48F2-BDEC-5E32BB50776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D7C12-7084-4FB6-8BE5-8ACC95CA9B22}">
  <dimension ref="A1:X9"/>
  <sheetViews>
    <sheetView workbookViewId="0">
      <pane xSplit="3" ySplit="1" topLeftCell="L2" activePane="bottomRight" state="frozen"/>
      <selection pane="topRight" activeCell="D1" sqref="D1"/>
      <selection pane="bottomLeft" activeCell="A2" sqref="A2"/>
      <selection pane="bottomRight" activeCell="M3" sqref="M3"/>
    </sheetView>
  </sheetViews>
  <sheetFormatPr defaultColWidth="43.625" defaultRowHeight="15.75" x14ac:dyDescent="0.25"/>
  <cols>
    <col min="1" max="1" width="10.625" bestFit="1" customWidth="1"/>
    <col min="2" max="2" width="11.375" bestFit="1" customWidth="1"/>
    <col min="3" max="3" width="15.75" bestFit="1" customWidth="1"/>
    <col min="4" max="4" width="86.875" bestFit="1" customWidth="1"/>
    <col min="5" max="5" width="19.375" bestFit="1" customWidth="1"/>
    <col min="6" max="6" width="77.875" bestFit="1" customWidth="1"/>
    <col min="7" max="7" width="19.875" bestFit="1" customWidth="1"/>
    <col min="8" max="8" width="50.625" customWidth="1"/>
    <col min="9" max="9" width="26.75" bestFit="1" customWidth="1"/>
    <col min="10" max="10" width="63.5" customWidth="1"/>
    <col min="11" max="12" width="50.625" customWidth="1"/>
    <col min="13" max="13" width="13.625" customWidth="1"/>
    <col min="14" max="14" width="34.25" customWidth="1"/>
    <col min="15" max="15" width="108.625" bestFit="1" customWidth="1"/>
    <col min="16" max="16" width="76.375" bestFit="1" customWidth="1"/>
    <col min="17" max="17" width="122" bestFit="1" customWidth="1"/>
    <col min="18" max="18" width="30.125" bestFit="1" customWidth="1"/>
    <col min="19" max="19" width="33.875" bestFit="1" customWidth="1"/>
    <col min="20" max="20" width="140.5" bestFit="1" customWidth="1"/>
    <col min="21" max="21" width="116.875" bestFit="1" customWidth="1"/>
    <col min="22" max="22" width="34.75" bestFit="1" customWidth="1"/>
    <col min="23" max="23" width="185.25" bestFit="1" customWidth="1"/>
    <col min="24" max="24" width="6.25" bestFit="1" customWidth="1"/>
  </cols>
  <sheetData>
    <row r="1" spans="1:24" x14ac:dyDescent="0.25">
      <c r="A1" s="61" t="s">
        <v>774</v>
      </c>
      <c r="B1" s="62" t="s">
        <v>775</v>
      </c>
      <c r="C1" s="61" t="s">
        <v>776</v>
      </c>
      <c r="D1" s="61" t="s">
        <v>777</v>
      </c>
      <c r="E1" s="61" t="s">
        <v>778</v>
      </c>
      <c r="F1" s="61" t="s">
        <v>779</v>
      </c>
      <c r="G1" s="61" t="s">
        <v>780</v>
      </c>
      <c r="H1" s="61" t="s">
        <v>781</v>
      </c>
      <c r="I1" s="61" t="s">
        <v>782</v>
      </c>
      <c r="J1" s="61" t="s">
        <v>783</v>
      </c>
      <c r="K1" s="61" t="s">
        <v>784</v>
      </c>
      <c r="L1" s="61" t="s">
        <v>785</v>
      </c>
      <c r="M1" s="61" t="s">
        <v>786</v>
      </c>
      <c r="N1" s="61" t="s">
        <v>787</v>
      </c>
      <c r="O1" s="61" t="s">
        <v>788</v>
      </c>
      <c r="P1" s="61" t="s">
        <v>789</v>
      </c>
      <c r="Q1" s="61" t="s">
        <v>790</v>
      </c>
      <c r="R1" s="61" t="s">
        <v>80</v>
      </c>
      <c r="S1" s="61" t="s">
        <v>791</v>
      </c>
      <c r="T1" s="61" t="s">
        <v>35</v>
      </c>
      <c r="U1" s="61" t="s">
        <v>792</v>
      </c>
      <c r="V1" s="61" t="s">
        <v>82</v>
      </c>
      <c r="W1" s="61" t="s">
        <v>38</v>
      </c>
      <c r="X1" s="61" t="s">
        <v>37</v>
      </c>
    </row>
    <row r="2" spans="1:24" x14ac:dyDescent="0.25">
      <c r="A2" s="23" t="s">
        <v>793</v>
      </c>
      <c r="B2" s="63">
        <v>1</v>
      </c>
      <c r="C2" s="23" t="s">
        <v>794</v>
      </c>
      <c r="D2" s="23" t="s">
        <v>849</v>
      </c>
      <c r="E2" s="23" t="s">
        <v>850</v>
      </c>
      <c r="F2" s="23" t="s">
        <v>851</v>
      </c>
      <c r="G2" s="23" t="s">
        <v>852</v>
      </c>
      <c r="H2" s="23" t="s">
        <v>853</v>
      </c>
      <c r="I2" s="23" t="s">
        <v>854</v>
      </c>
      <c r="J2" s="23" t="s">
        <v>855</v>
      </c>
      <c r="K2" s="23" t="s">
        <v>856</v>
      </c>
      <c r="L2" s="23" t="s">
        <v>795</v>
      </c>
      <c r="M2" s="23" t="s">
        <v>795</v>
      </c>
      <c r="N2" s="23" t="s">
        <v>795</v>
      </c>
      <c r="O2" s="23" t="s">
        <v>795</v>
      </c>
      <c r="P2" s="23" t="s">
        <v>795</v>
      </c>
      <c r="Q2" s="23" t="s">
        <v>802</v>
      </c>
      <c r="R2" s="23" t="s">
        <v>98</v>
      </c>
      <c r="S2" s="23" t="s">
        <v>857</v>
      </c>
      <c r="T2" s="23" t="s">
        <v>858</v>
      </c>
      <c r="U2" s="23" t="s">
        <v>859</v>
      </c>
      <c r="V2" s="23" t="s">
        <v>860</v>
      </c>
      <c r="W2" s="23" t="s">
        <v>861</v>
      </c>
      <c r="X2" s="23" t="s">
        <v>104</v>
      </c>
    </row>
    <row r="3" spans="1:24" x14ac:dyDescent="0.25">
      <c r="A3" s="23" t="s">
        <v>796</v>
      </c>
      <c r="B3" s="63">
        <v>2</v>
      </c>
      <c r="C3" s="23" t="s">
        <v>797</v>
      </c>
      <c r="D3" s="23" t="s">
        <v>862</v>
      </c>
      <c r="E3" s="23" t="s">
        <v>850</v>
      </c>
      <c r="F3" s="23" t="s">
        <v>863</v>
      </c>
      <c r="G3" s="23" t="s">
        <v>798</v>
      </c>
      <c r="H3" s="23" t="s">
        <v>799</v>
      </c>
      <c r="I3" s="23" t="s">
        <v>800</v>
      </c>
      <c r="J3" s="23" t="s">
        <v>864</v>
      </c>
      <c r="K3" s="23" t="s">
        <v>865</v>
      </c>
      <c r="L3" s="23" t="s">
        <v>795</v>
      </c>
      <c r="M3" s="23" t="s">
        <v>801</v>
      </c>
      <c r="N3" s="23" t="s">
        <v>866</v>
      </c>
      <c r="O3" s="23" t="s">
        <v>867</v>
      </c>
      <c r="P3" s="23" t="s">
        <v>868</v>
      </c>
      <c r="Q3" s="23" t="s">
        <v>802</v>
      </c>
      <c r="R3" s="23" t="s">
        <v>98</v>
      </c>
      <c r="S3" s="23" t="s">
        <v>869</v>
      </c>
      <c r="T3" s="23" t="s">
        <v>870</v>
      </c>
      <c r="U3" s="23" t="s">
        <v>871</v>
      </c>
      <c r="V3" s="23" t="s">
        <v>872</v>
      </c>
      <c r="W3" s="23" t="s">
        <v>873</v>
      </c>
      <c r="X3" s="23" t="s">
        <v>104</v>
      </c>
    </row>
    <row r="4" spans="1:24" x14ac:dyDescent="0.25">
      <c r="A4" s="23" t="s">
        <v>803</v>
      </c>
      <c r="B4" s="63">
        <v>3</v>
      </c>
      <c r="C4" s="23" t="s">
        <v>804</v>
      </c>
      <c r="D4" s="23" t="s">
        <v>874</v>
      </c>
      <c r="E4" s="23" t="s">
        <v>850</v>
      </c>
      <c r="F4" s="23" t="s">
        <v>875</v>
      </c>
      <c r="G4" s="23" t="s">
        <v>805</v>
      </c>
      <c r="H4" s="23" t="s">
        <v>876</v>
      </c>
      <c r="I4" s="23" t="s">
        <v>877</v>
      </c>
      <c r="J4" s="23" t="s">
        <v>878</v>
      </c>
      <c r="K4" s="23" t="s">
        <v>879</v>
      </c>
      <c r="L4" s="23" t="s">
        <v>880</v>
      </c>
      <c r="M4" s="23" t="s">
        <v>881</v>
      </c>
      <c r="N4" s="23" t="s">
        <v>795</v>
      </c>
      <c r="O4" s="23" t="s">
        <v>795</v>
      </c>
      <c r="P4" s="23" t="s">
        <v>795</v>
      </c>
      <c r="Q4" s="23" t="s">
        <v>882</v>
      </c>
      <c r="R4" s="23" t="s">
        <v>883</v>
      </c>
      <c r="S4" s="23" t="s">
        <v>806</v>
      </c>
      <c r="T4" s="23" t="s">
        <v>807</v>
      </c>
      <c r="U4" s="23" t="s">
        <v>884</v>
      </c>
      <c r="V4" s="23" t="s">
        <v>885</v>
      </c>
      <c r="W4" s="23" t="s">
        <v>886</v>
      </c>
      <c r="X4" s="23" t="s">
        <v>104</v>
      </c>
    </row>
    <row r="5" spans="1:24" x14ac:dyDescent="0.25">
      <c r="A5" s="23" t="s">
        <v>808</v>
      </c>
      <c r="B5" s="63">
        <v>4</v>
      </c>
      <c r="C5" s="23" t="s">
        <v>809</v>
      </c>
      <c r="D5" s="23" t="s">
        <v>810</v>
      </c>
      <c r="E5" s="23" t="s">
        <v>850</v>
      </c>
      <c r="F5" s="23" t="s">
        <v>887</v>
      </c>
      <c r="G5" s="23" t="s">
        <v>811</v>
      </c>
      <c r="H5" s="23" t="s">
        <v>812</v>
      </c>
      <c r="I5" s="23" t="s">
        <v>813</v>
      </c>
      <c r="J5" s="23" t="s">
        <v>888</v>
      </c>
      <c r="K5" s="23" t="s">
        <v>879</v>
      </c>
      <c r="L5" s="23" t="s">
        <v>889</v>
      </c>
      <c r="M5" s="23" t="s">
        <v>890</v>
      </c>
      <c r="N5" s="23" t="s">
        <v>795</v>
      </c>
      <c r="O5" s="23" t="s">
        <v>795</v>
      </c>
      <c r="P5" s="23" t="s">
        <v>795</v>
      </c>
      <c r="Q5" s="23" t="s">
        <v>891</v>
      </c>
      <c r="R5" s="23" t="s">
        <v>814</v>
      </c>
      <c r="S5" s="23" t="s">
        <v>342</v>
      </c>
      <c r="T5" s="23" t="s">
        <v>815</v>
      </c>
      <c r="U5" s="23" t="s">
        <v>816</v>
      </c>
      <c r="V5" s="23" t="s">
        <v>817</v>
      </c>
      <c r="W5" s="23" t="s">
        <v>892</v>
      </c>
      <c r="X5" s="23" t="s">
        <v>104</v>
      </c>
    </row>
    <row r="6" spans="1:24" x14ac:dyDescent="0.25">
      <c r="A6" s="23" t="s">
        <v>818</v>
      </c>
      <c r="B6" s="63">
        <v>5</v>
      </c>
      <c r="C6" s="23" t="s">
        <v>819</v>
      </c>
      <c r="D6" s="23" t="s">
        <v>820</v>
      </c>
      <c r="E6" s="23" t="s">
        <v>850</v>
      </c>
      <c r="F6" s="23" t="s">
        <v>893</v>
      </c>
      <c r="G6" s="23" t="s">
        <v>821</v>
      </c>
      <c r="H6" s="23" t="s">
        <v>822</v>
      </c>
      <c r="I6" s="23" t="s">
        <v>823</v>
      </c>
      <c r="J6" s="23" t="s">
        <v>824</v>
      </c>
      <c r="K6" s="23" t="s">
        <v>879</v>
      </c>
      <c r="L6" s="23" t="s">
        <v>795</v>
      </c>
      <c r="M6" s="23" t="s">
        <v>894</v>
      </c>
      <c r="N6" s="23" t="s">
        <v>795</v>
      </c>
      <c r="O6" s="23" t="s">
        <v>825</v>
      </c>
      <c r="P6" s="23" t="s">
        <v>795</v>
      </c>
      <c r="Q6" s="23" t="s">
        <v>802</v>
      </c>
      <c r="R6" s="23" t="s">
        <v>98</v>
      </c>
      <c r="S6" s="23" t="s">
        <v>826</v>
      </c>
      <c r="T6" s="23" t="s">
        <v>827</v>
      </c>
      <c r="U6" s="23" t="s">
        <v>828</v>
      </c>
      <c r="V6" s="23" t="s">
        <v>829</v>
      </c>
      <c r="W6" s="23" t="s">
        <v>895</v>
      </c>
      <c r="X6" s="23" t="s">
        <v>104</v>
      </c>
    </row>
    <row r="7" spans="1:24" x14ac:dyDescent="0.25">
      <c r="A7" s="23" t="s">
        <v>830</v>
      </c>
      <c r="B7" s="63">
        <v>6</v>
      </c>
      <c r="C7" s="23" t="s">
        <v>831</v>
      </c>
      <c r="D7" s="23" t="s">
        <v>896</v>
      </c>
      <c r="E7" s="23" t="s">
        <v>897</v>
      </c>
      <c r="F7" s="23" t="s">
        <v>898</v>
      </c>
      <c r="G7" s="23" t="s">
        <v>832</v>
      </c>
      <c r="H7" s="23" t="s">
        <v>899</v>
      </c>
      <c r="I7" s="23" t="s">
        <v>900</v>
      </c>
      <c r="J7" s="23" t="s">
        <v>901</v>
      </c>
      <c r="K7" s="23" t="s">
        <v>902</v>
      </c>
      <c r="L7" s="23" t="s">
        <v>795</v>
      </c>
      <c r="M7" s="23" t="s">
        <v>903</v>
      </c>
      <c r="N7" s="23" t="s">
        <v>904</v>
      </c>
      <c r="O7" s="23" t="s">
        <v>905</v>
      </c>
      <c r="P7" s="23" t="s">
        <v>906</v>
      </c>
      <c r="Q7" s="23" t="s">
        <v>802</v>
      </c>
      <c r="R7" s="23" t="s">
        <v>98</v>
      </c>
      <c r="S7" s="23" t="s">
        <v>907</v>
      </c>
      <c r="T7" s="23" t="s">
        <v>908</v>
      </c>
      <c r="U7" s="23" t="s">
        <v>909</v>
      </c>
      <c r="V7" s="23" t="s">
        <v>833</v>
      </c>
      <c r="W7" s="23" t="s">
        <v>910</v>
      </c>
      <c r="X7" s="23" t="s">
        <v>104</v>
      </c>
    </row>
    <row r="8" spans="1:24" x14ac:dyDescent="0.25">
      <c r="A8" s="23" t="s">
        <v>834</v>
      </c>
      <c r="B8" s="63">
        <v>7</v>
      </c>
      <c r="C8" s="23" t="s">
        <v>835</v>
      </c>
      <c r="D8" s="23" t="s">
        <v>836</v>
      </c>
      <c r="E8" s="23" t="s">
        <v>850</v>
      </c>
      <c r="F8" s="23" t="s">
        <v>911</v>
      </c>
      <c r="G8" s="23" t="s">
        <v>837</v>
      </c>
      <c r="H8" s="23" t="s">
        <v>912</v>
      </c>
      <c r="I8" s="23" t="s">
        <v>838</v>
      </c>
      <c r="J8" s="23" t="s">
        <v>839</v>
      </c>
      <c r="K8" s="23" t="s">
        <v>913</v>
      </c>
      <c r="L8" s="23" t="s">
        <v>795</v>
      </c>
      <c r="M8" s="23" t="s">
        <v>795</v>
      </c>
      <c r="N8" s="23" t="s">
        <v>795</v>
      </c>
      <c r="O8" s="23" t="s">
        <v>914</v>
      </c>
      <c r="P8" s="23" t="s">
        <v>795</v>
      </c>
      <c r="Q8" s="23" t="s">
        <v>915</v>
      </c>
      <c r="R8" s="23" t="s">
        <v>916</v>
      </c>
      <c r="S8" s="23" t="s">
        <v>840</v>
      </c>
      <c r="T8" s="23" t="s">
        <v>841</v>
      </c>
      <c r="U8" s="23" t="s">
        <v>917</v>
      </c>
      <c r="V8" s="23" t="s">
        <v>918</v>
      </c>
      <c r="W8" s="23" t="s">
        <v>919</v>
      </c>
      <c r="X8" s="23" t="s">
        <v>104</v>
      </c>
    </row>
    <row r="9" spans="1:24" x14ac:dyDescent="0.25">
      <c r="A9" s="23" t="s">
        <v>842</v>
      </c>
      <c r="B9" s="63">
        <v>8</v>
      </c>
      <c r="C9" s="23" t="s">
        <v>843</v>
      </c>
      <c r="D9" s="23" t="s">
        <v>920</v>
      </c>
      <c r="E9" s="23" t="s">
        <v>850</v>
      </c>
      <c r="F9" s="23" t="s">
        <v>921</v>
      </c>
      <c r="G9" s="23" t="s">
        <v>844</v>
      </c>
      <c r="H9" s="23" t="s">
        <v>922</v>
      </c>
      <c r="I9" s="23" t="s">
        <v>845</v>
      </c>
      <c r="J9" s="23" t="s">
        <v>923</v>
      </c>
      <c r="K9" s="23" t="s">
        <v>924</v>
      </c>
      <c r="L9" s="23" t="s">
        <v>795</v>
      </c>
      <c r="M9" s="23" t="s">
        <v>795</v>
      </c>
      <c r="N9" s="23" t="s">
        <v>795</v>
      </c>
      <c r="O9" s="23" t="s">
        <v>925</v>
      </c>
      <c r="P9" s="23" t="s">
        <v>795</v>
      </c>
      <c r="Q9" s="23" t="s">
        <v>926</v>
      </c>
      <c r="R9" s="23" t="s">
        <v>846</v>
      </c>
      <c r="S9" s="23" t="s">
        <v>847</v>
      </c>
      <c r="T9" s="23" t="s">
        <v>848</v>
      </c>
      <c r="U9" s="23" t="s">
        <v>927</v>
      </c>
      <c r="V9" s="23" t="s">
        <v>928</v>
      </c>
      <c r="W9" s="23" t="s">
        <v>929</v>
      </c>
      <c r="X9" s="23" t="s">
        <v>104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D243B-1A62-4E00-8A57-AE82B741F90B}">
  <dimension ref="A1:J4"/>
  <sheetViews>
    <sheetView workbookViewId="0">
      <selection activeCell="E11" sqref="E11"/>
    </sheetView>
  </sheetViews>
  <sheetFormatPr defaultRowHeight="15.75" x14ac:dyDescent="0.25"/>
  <cols>
    <col min="1" max="1" width="15.625" bestFit="1" customWidth="1"/>
    <col min="2" max="2" width="8" bestFit="1" customWidth="1"/>
    <col min="3" max="3" width="12.75" bestFit="1" customWidth="1"/>
    <col min="4" max="4" width="16.125" bestFit="1" customWidth="1"/>
    <col min="5" max="5" width="18" bestFit="1" customWidth="1"/>
    <col min="6" max="6" width="18.375" bestFit="1" customWidth="1"/>
    <col min="7" max="7" width="81.25" bestFit="1" customWidth="1"/>
    <col min="8" max="8" width="98.375" bestFit="1" customWidth="1"/>
    <col min="9" max="9" width="87.375" bestFit="1" customWidth="1"/>
    <col min="10" max="10" width="6.25" bestFit="1" customWidth="1"/>
  </cols>
  <sheetData>
    <row r="1" spans="1:10" x14ac:dyDescent="0.25">
      <c r="A1" s="61" t="s">
        <v>1214</v>
      </c>
      <c r="B1" s="62" t="s">
        <v>947</v>
      </c>
      <c r="C1" s="61" t="s">
        <v>1215</v>
      </c>
      <c r="D1" s="61" t="s">
        <v>1216</v>
      </c>
      <c r="E1" s="61" t="s">
        <v>333</v>
      </c>
      <c r="F1" s="62" t="s">
        <v>360</v>
      </c>
      <c r="G1" s="61" t="s">
        <v>1217</v>
      </c>
      <c r="H1" s="61" t="s">
        <v>35</v>
      </c>
      <c r="I1" s="61" t="s">
        <v>38</v>
      </c>
      <c r="J1" s="61" t="s">
        <v>37</v>
      </c>
    </row>
    <row r="2" spans="1:10" x14ac:dyDescent="0.25">
      <c r="A2" s="23" t="s">
        <v>1218</v>
      </c>
      <c r="B2" s="63">
        <v>2025</v>
      </c>
      <c r="C2" s="23" t="s">
        <v>333</v>
      </c>
      <c r="D2" s="23" t="s">
        <v>1219</v>
      </c>
      <c r="E2" s="23" t="s">
        <v>1220</v>
      </c>
      <c r="F2" s="63">
        <v>15750</v>
      </c>
      <c r="G2" s="23" t="s">
        <v>1221</v>
      </c>
      <c r="H2" s="23" t="s">
        <v>1222</v>
      </c>
      <c r="I2" s="23" t="s">
        <v>1223</v>
      </c>
      <c r="J2" s="23" t="s">
        <v>104</v>
      </c>
    </row>
    <row r="3" spans="1:10" x14ac:dyDescent="0.25">
      <c r="A3" s="23" t="s">
        <v>1224</v>
      </c>
      <c r="B3" s="63">
        <v>2025</v>
      </c>
      <c r="C3" s="23" t="s">
        <v>333</v>
      </c>
      <c r="D3" s="23" t="s">
        <v>1225</v>
      </c>
      <c r="E3" s="23" t="s">
        <v>1226</v>
      </c>
      <c r="F3" s="63">
        <v>31500</v>
      </c>
      <c r="G3" s="23" t="s">
        <v>1227</v>
      </c>
      <c r="H3" s="23" t="s">
        <v>1228</v>
      </c>
      <c r="I3" s="23" t="s">
        <v>1229</v>
      </c>
      <c r="J3" s="23" t="s">
        <v>104</v>
      </c>
    </row>
    <row r="4" spans="1:10" x14ac:dyDescent="0.25">
      <c r="A4" s="23" t="s">
        <v>1230</v>
      </c>
      <c r="B4" s="63">
        <v>2025</v>
      </c>
      <c r="C4" s="23" t="s">
        <v>333</v>
      </c>
      <c r="D4" s="23" t="s">
        <v>1231</v>
      </c>
      <c r="E4" s="23" t="s">
        <v>1232</v>
      </c>
      <c r="F4" s="63">
        <v>23625</v>
      </c>
      <c r="G4" s="23" t="s">
        <v>1233</v>
      </c>
      <c r="H4" s="23" t="s">
        <v>1234</v>
      </c>
      <c r="I4" s="23" t="s">
        <v>1235</v>
      </c>
      <c r="J4" s="23"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72A94-71AE-4353-B133-DB328A55E5E2}">
  <dimension ref="A1:I22"/>
  <sheetViews>
    <sheetView workbookViewId="0">
      <selection sqref="A1:I22"/>
    </sheetView>
  </sheetViews>
  <sheetFormatPr defaultRowHeight="15.75" x14ac:dyDescent="0.25"/>
  <sheetData>
    <row r="1" spans="1:9" ht="47.25" x14ac:dyDescent="0.25">
      <c r="A1" s="21" t="s">
        <v>1214</v>
      </c>
      <c r="B1" s="20" t="s">
        <v>947</v>
      </c>
      <c r="C1" s="21" t="s">
        <v>1216</v>
      </c>
      <c r="D1" s="20" t="s">
        <v>1236</v>
      </c>
      <c r="E1" s="20" t="s">
        <v>1237</v>
      </c>
      <c r="F1" s="20" t="s">
        <v>1238</v>
      </c>
      <c r="G1" s="20" t="s">
        <v>1239</v>
      </c>
      <c r="H1" s="21" t="s">
        <v>38</v>
      </c>
      <c r="I1" s="21" t="s">
        <v>37</v>
      </c>
    </row>
    <row r="2" spans="1:9" ht="63" x14ac:dyDescent="0.25">
      <c r="A2" s="22" t="s">
        <v>1240</v>
      </c>
      <c r="B2" s="19">
        <v>2025</v>
      </c>
      <c r="C2" s="22" t="s">
        <v>1219</v>
      </c>
      <c r="D2" s="19">
        <v>1</v>
      </c>
      <c r="E2" s="19">
        <v>0</v>
      </c>
      <c r="F2" s="19">
        <v>11925</v>
      </c>
      <c r="G2" s="19">
        <v>0.1</v>
      </c>
      <c r="H2" s="22" t="s">
        <v>1241</v>
      </c>
      <c r="I2" s="22" t="s">
        <v>104</v>
      </c>
    </row>
    <row r="3" spans="1:9" ht="94.5" x14ac:dyDescent="0.25">
      <c r="A3" s="22" t="s">
        <v>1242</v>
      </c>
      <c r="B3" s="19">
        <v>2025</v>
      </c>
      <c r="C3" s="22" t="s">
        <v>1219</v>
      </c>
      <c r="D3" s="19">
        <v>2</v>
      </c>
      <c r="E3" s="19">
        <v>11925</v>
      </c>
      <c r="F3" s="19">
        <v>48475</v>
      </c>
      <c r="G3" s="19">
        <v>0.12</v>
      </c>
      <c r="H3" s="22" t="s">
        <v>1243</v>
      </c>
      <c r="I3" s="22" t="s">
        <v>104</v>
      </c>
    </row>
    <row r="4" spans="1:9" ht="94.5" x14ac:dyDescent="0.25">
      <c r="A4" s="22" t="s">
        <v>1244</v>
      </c>
      <c r="B4" s="19">
        <v>2025</v>
      </c>
      <c r="C4" s="22" t="s">
        <v>1219</v>
      </c>
      <c r="D4" s="19">
        <v>3</v>
      </c>
      <c r="E4" s="19">
        <v>48475</v>
      </c>
      <c r="F4" s="19">
        <v>103350</v>
      </c>
      <c r="G4" s="19">
        <v>0.22</v>
      </c>
      <c r="H4" s="22" t="s">
        <v>1243</v>
      </c>
      <c r="I4" s="22" t="s">
        <v>104</v>
      </c>
    </row>
    <row r="5" spans="1:9" ht="94.5" x14ac:dyDescent="0.25">
      <c r="A5" s="22" t="s">
        <v>1245</v>
      </c>
      <c r="B5" s="19">
        <v>2025</v>
      </c>
      <c r="C5" s="22" t="s">
        <v>1219</v>
      </c>
      <c r="D5" s="19">
        <v>4</v>
      </c>
      <c r="E5" s="19">
        <v>103350</v>
      </c>
      <c r="F5" s="19">
        <v>197300</v>
      </c>
      <c r="G5" s="19">
        <v>0.24</v>
      </c>
      <c r="H5" s="22" t="s">
        <v>1243</v>
      </c>
      <c r="I5" s="22" t="s">
        <v>104</v>
      </c>
    </row>
    <row r="6" spans="1:9" ht="94.5" x14ac:dyDescent="0.25">
      <c r="A6" s="22" t="s">
        <v>1246</v>
      </c>
      <c r="B6" s="19">
        <v>2025</v>
      </c>
      <c r="C6" s="22" t="s">
        <v>1219</v>
      </c>
      <c r="D6" s="19">
        <v>5</v>
      </c>
      <c r="E6" s="19">
        <v>197300</v>
      </c>
      <c r="F6" s="19">
        <v>250525</v>
      </c>
      <c r="G6" s="19">
        <v>0.32</v>
      </c>
      <c r="H6" s="22" t="s">
        <v>1243</v>
      </c>
      <c r="I6" s="22" t="s">
        <v>104</v>
      </c>
    </row>
    <row r="7" spans="1:9" ht="94.5" x14ac:dyDescent="0.25">
      <c r="A7" s="22" t="s">
        <v>1247</v>
      </c>
      <c r="B7" s="19">
        <v>2025</v>
      </c>
      <c r="C7" s="22" t="s">
        <v>1219</v>
      </c>
      <c r="D7" s="19">
        <v>6</v>
      </c>
      <c r="E7" s="19">
        <v>250525</v>
      </c>
      <c r="F7" s="19">
        <v>626350</v>
      </c>
      <c r="G7" s="19">
        <v>0.35</v>
      </c>
      <c r="H7" s="22" t="s">
        <v>1243</v>
      </c>
      <c r="I7" s="22" t="s">
        <v>104</v>
      </c>
    </row>
    <row r="8" spans="1:9" ht="47.25" x14ac:dyDescent="0.25">
      <c r="A8" s="22" t="s">
        <v>1248</v>
      </c>
      <c r="B8" s="19">
        <v>2025</v>
      </c>
      <c r="C8" s="22" t="s">
        <v>1219</v>
      </c>
      <c r="D8" s="19">
        <v>7</v>
      </c>
      <c r="E8" s="19">
        <v>626350</v>
      </c>
      <c r="F8" s="19" t="s">
        <v>1249</v>
      </c>
      <c r="G8" s="19">
        <v>0.37</v>
      </c>
      <c r="H8" s="22" t="s">
        <v>1250</v>
      </c>
      <c r="I8" s="22" t="s">
        <v>104</v>
      </c>
    </row>
    <row r="9" spans="1:9" ht="47.25" x14ac:dyDescent="0.25">
      <c r="A9" s="22" t="s">
        <v>1251</v>
      </c>
      <c r="B9" s="19">
        <v>2025</v>
      </c>
      <c r="C9" s="22" t="s">
        <v>1225</v>
      </c>
      <c r="D9" s="19">
        <v>1</v>
      </c>
      <c r="E9" s="19">
        <v>0</v>
      </c>
      <c r="F9" s="19">
        <v>23850</v>
      </c>
      <c r="G9" s="19">
        <v>0.1</v>
      </c>
      <c r="H9" s="22" t="s">
        <v>1241</v>
      </c>
      <c r="I9" s="22" t="s">
        <v>104</v>
      </c>
    </row>
    <row r="10" spans="1:9" ht="94.5" x14ac:dyDescent="0.25">
      <c r="A10" s="22" t="s">
        <v>1252</v>
      </c>
      <c r="B10" s="19">
        <v>2025</v>
      </c>
      <c r="C10" s="22" t="s">
        <v>1225</v>
      </c>
      <c r="D10" s="19">
        <v>2</v>
      </c>
      <c r="E10" s="19">
        <v>23850</v>
      </c>
      <c r="F10" s="19">
        <v>96950</v>
      </c>
      <c r="G10" s="19">
        <v>0.12</v>
      </c>
      <c r="H10" s="22" t="s">
        <v>1243</v>
      </c>
      <c r="I10" s="22" t="s">
        <v>104</v>
      </c>
    </row>
    <row r="11" spans="1:9" ht="94.5" x14ac:dyDescent="0.25">
      <c r="A11" s="22" t="s">
        <v>1253</v>
      </c>
      <c r="B11" s="19">
        <v>2025</v>
      </c>
      <c r="C11" s="22" t="s">
        <v>1225</v>
      </c>
      <c r="D11" s="19">
        <v>3</v>
      </c>
      <c r="E11" s="19">
        <v>96950</v>
      </c>
      <c r="F11" s="19">
        <v>206700</v>
      </c>
      <c r="G11" s="19">
        <v>0.22</v>
      </c>
      <c r="H11" s="22" t="s">
        <v>1243</v>
      </c>
      <c r="I11" s="22" t="s">
        <v>104</v>
      </c>
    </row>
    <row r="12" spans="1:9" ht="94.5" x14ac:dyDescent="0.25">
      <c r="A12" s="22" t="s">
        <v>1254</v>
      </c>
      <c r="B12" s="19">
        <v>2025</v>
      </c>
      <c r="C12" s="22" t="s">
        <v>1225</v>
      </c>
      <c r="D12" s="19">
        <v>4</v>
      </c>
      <c r="E12" s="19">
        <v>206700</v>
      </c>
      <c r="F12" s="19">
        <v>394600</v>
      </c>
      <c r="G12" s="19">
        <v>0.24</v>
      </c>
      <c r="H12" s="22" t="s">
        <v>1243</v>
      </c>
      <c r="I12" s="22" t="s">
        <v>104</v>
      </c>
    </row>
    <row r="13" spans="1:9" ht="94.5" x14ac:dyDescent="0.25">
      <c r="A13" s="22" t="s">
        <v>1255</v>
      </c>
      <c r="B13" s="19">
        <v>2025</v>
      </c>
      <c r="C13" s="22" t="s">
        <v>1225</v>
      </c>
      <c r="D13" s="19">
        <v>5</v>
      </c>
      <c r="E13" s="19">
        <v>394600</v>
      </c>
      <c r="F13" s="19">
        <v>501050</v>
      </c>
      <c r="G13" s="19">
        <v>0.32</v>
      </c>
      <c r="H13" s="22" t="s">
        <v>1243</v>
      </c>
      <c r="I13" s="22" t="s">
        <v>104</v>
      </c>
    </row>
    <row r="14" spans="1:9" ht="94.5" x14ac:dyDescent="0.25">
      <c r="A14" s="22" t="s">
        <v>1256</v>
      </c>
      <c r="B14" s="19">
        <v>2025</v>
      </c>
      <c r="C14" s="22" t="s">
        <v>1225</v>
      </c>
      <c r="D14" s="19">
        <v>6</v>
      </c>
      <c r="E14" s="19">
        <v>501050</v>
      </c>
      <c r="F14" s="19">
        <v>751600</v>
      </c>
      <c r="G14" s="19">
        <v>0.35</v>
      </c>
      <c r="H14" s="22" t="s">
        <v>1243</v>
      </c>
      <c r="I14" s="22" t="s">
        <v>104</v>
      </c>
    </row>
    <row r="15" spans="1:9" ht="47.25" x14ac:dyDescent="0.25">
      <c r="A15" s="22" t="s">
        <v>1257</v>
      </c>
      <c r="B15" s="19">
        <v>2025</v>
      </c>
      <c r="C15" s="22" t="s">
        <v>1225</v>
      </c>
      <c r="D15" s="19">
        <v>7</v>
      </c>
      <c r="E15" s="19">
        <v>751600</v>
      </c>
      <c r="F15" s="19" t="s">
        <v>1249</v>
      </c>
      <c r="G15" s="19">
        <v>0.37</v>
      </c>
      <c r="H15" s="22" t="s">
        <v>1250</v>
      </c>
      <c r="I15" s="22" t="s">
        <v>104</v>
      </c>
    </row>
    <row r="16" spans="1:9" ht="47.25" x14ac:dyDescent="0.25">
      <c r="A16" s="22" t="s">
        <v>1258</v>
      </c>
      <c r="B16" s="19">
        <v>2025</v>
      </c>
      <c r="C16" s="22" t="s">
        <v>1231</v>
      </c>
      <c r="D16" s="19">
        <v>1</v>
      </c>
      <c r="E16" s="19">
        <v>0</v>
      </c>
      <c r="F16" s="19">
        <v>17000</v>
      </c>
      <c r="G16" s="19">
        <v>0.1</v>
      </c>
      <c r="H16" s="22" t="s">
        <v>1241</v>
      </c>
      <c r="I16" s="22" t="s">
        <v>104</v>
      </c>
    </row>
    <row r="17" spans="1:9" ht="94.5" x14ac:dyDescent="0.25">
      <c r="A17" s="22" t="s">
        <v>1259</v>
      </c>
      <c r="B17" s="19">
        <v>2025</v>
      </c>
      <c r="C17" s="22" t="s">
        <v>1231</v>
      </c>
      <c r="D17" s="19">
        <v>2</v>
      </c>
      <c r="E17" s="19">
        <v>17000</v>
      </c>
      <c r="F17" s="19">
        <v>64850</v>
      </c>
      <c r="G17" s="19">
        <v>0.12</v>
      </c>
      <c r="H17" s="22" t="s">
        <v>1243</v>
      </c>
      <c r="I17" s="22" t="s">
        <v>104</v>
      </c>
    </row>
    <row r="18" spans="1:9" ht="94.5" x14ac:dyDescent="0.25">
      <c r="A18" s="22" t="s">
        <v>1260</v>
      </c>
      <c r="B18" s="19">
        <v>2025</v>
      </c>
      <c r="C18" s="22" t="s">
        <v>1231</v>
      </c>
      <c r="D18" s="19">
        <v>3</v>
      </c>
      <c r="E18" s="19">
        <v>64850</v>
      </c>
      <c r="F18" s="19">
        <v>103350</v>
      </c>
      <c r="G18" s="19">
        <v>0.22</v>
      </c>
      <c r="H18" s="22" t="s">
        <v>1243</v>
      </c>
      <c r="I18" s="22" t="s">
        <v>104</v>
      </c>
    </row>
    <row r="19" spans="1:9" ht="94.5" x14ac:dyDescent="0.25">
      <c r="A19" s="22" t="s">
        <v>1261</v>
      </c>
      <c r="B19" s="19">
        <v>2025</v>
      </c>
      <c r="C19" s="22" t="s">
        <v>1231</v>
      </c>
      <c r="D19" s="19">
        <v>4</v>
      </c>
      <c r="E19" s="19">
        <v>103350</v>
      </c>
      <c r="F19" s="19">
        <v>197300</v>
      </c>
      <c r="G19" s="19">
        <v>0.24</v>
      </c>
      <c r="H19" s="22" t="s">
        <v>1243</v>
      </c>
      <c r="I19" s="22" t="s">
        <v>104</v>
      </c>
    </row>
    <row r="20" spans="1:9" ht="94.5" x14ac:dyDescent="0.25">
      <c r="A20" s="22" t="s">
        <v>1262</v>
      </c>
      <c r="B20" s="19">
        <v>2025</v>
      </c>
      <c r="C20" s="22" t="s">
        <v>1231</v>
      </c>
      <c r="D20" s="19">
        <v>5</v>
      </c>
      <c r="E20" s="19">
        <v>197300</v>
      </c>
      <c r="F20" s="19">
        <v>250500</v>
      </c>
      <c r="G20" s="19">
        <v>0.32</v>
      </c>
      <c r="H20" s="22" t="s">
        <v>1243</v>
      </c>
      <c r="I20" s="22" t="s">
        <v>104</v>
      </c>
    </row>
    <row r="21" spans="1:9" ht="94.5" x14ac:dyDescent="0.25">
      <c r="A21" s="22" t="s">
        <v>1263</v>
      </c>
      <c r="B21" s="19">
        <v>2025</v>
      </c>
      <c r="C21" s="22" t="s">
        <v>1231</v>
      </c>
      <c r="D21" s="19">
        <v>6</v>
      </c>
      <c r="E21" s="19">
        <v>250500</v>
      </c>
      <c r="F21" s="19">
        <v>626350</v>
      </c>
      <c r="G21" s="19">
        <v>0.35</v>
      </c>
      <c r="H21" s="22" t="s">
        <v>1243</v>
      </c>
      <c r="I21" s="22" t="s">
        <v>104</v>
      </c>
    </row>
    <row r="22" spans="1:9" ht="47.25" x14ac:dyDescent="0.25">
      <c r="A22" s="22" t="s">
        <v>1264</v>
      </c>
      <c r="B22" s="19">
        <v>2025</v>
      </c>
      <c r="C22" s="22" t="s">
        <v>1231</v>
      </c>
      <c r="D22" s="19">
        <v>7</v>
      </c>
      <c r="E22" s="19">
        <v>626350</v>
      </c>
      <c r="F22" s="19" t="s">
        <v>1249</v>
      </c>
      <c r="G22" s="19">
        <v>0.37</v>
      </c>
      <c r="H22" s="22" t="s">
        <v>1250</v>
      </c>
      <c r="I22" s="22" t="s">
        <v>104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37449-0F41-44A5-AB94-C53239AC25EA}">
  <dimension ref="A1:N4"/>
  <sheetViews>
    <sheetView workbookViewId="0">
      <selection activeCell="G24" sqref="G24"/>
    </sheetView>
  </sheetViews>
  <sheetFormatPr defaultRowHeight="15.75" x14ac:dyDescent="0.25"/>
  <sheetData>
    <row r="1" spans="1:14" x14ac:dyDescent="0.25">
      <c r="A1" s="61" t="s">
        <v>1214</v>
      </c>
      <c r="B1" s="62" t="s">
        <v>947</v>
      </c>
      <c r="C1" s="61" t="s">
        <v>1215</v>
      </c>
      <c r="D1" s="61" t="s">
        <v>1265</v>
      </c>
      <c r="E1" s="61" t="s">
        <v>1270</v>
      </c>
      <c r="F1" s="62" t="s">
        <v>71</v>
      </c>
      <c r="G1" s="61" t="s">
        <v>1271</v>
      </c>
      <c r="H1" s="61" t="s">
        <v>1272</v>
      </c>
      <c r="I1" s="61" t="s">
        <v>1273</v>
      </c>
      <c r="J1" s="61" t="s">
        <v>38</v>
      </c>
      <c r="K1" s="61" t="s">
        <v>37</v>
      </c>
      <c r="L1" s="21"/>
      <c r="M1" s="21"/>
      <c r="N1" s="21"/>
    </row>
    <row r="2" spans="1:14" x14ac:dyDescent="0.25">
      <c r="A2" s="23" t="s">
        <v>1266</v>
      </c>
      <c r="B2" s="63">
        <v>2025</v>
      </c>
      <c r="C2" s="23" t="s">
        <v>1274</v>
      </c>
      <c r="D2" s="23" t="s">
        <v>1267</v>
      </c>
      <c r="E2" s="23" t="s">
        <v>1275</v>
      </c>
      <c r="F2" s="63">
        <v>2200</v>
      </c>
      <c r="G2" s="23" t="s">
        <v>1276</v>
      </c>
      <c r="H2" s="23" t="s">
        <v>1277</v>
      </c>
      <c r="I2" s="23" t="s">
        <v>1278</v>
      </c>
      <c r="J2" s="23" t="s">
        <v>1279</v>
      </c>
      <c r="K2" s="23" t="s">
        <v>104</v>
      </c>
      <c r="L2" s="22"/>
      <c r="M2" s="22"/>
      <c r="N2" s="22"/>
    </row>
    <row r="3" spans="1:14" x14ac:dyDescent="0.25">
      <c r="A3" s="23" t="s">
        <v>1268</v>
      </c>
      <c r="B3" s="63">
        <v>2025</v>
      </c>
      <c r="C3" s="23" t="s">
        <v>1274</v>
      </c>
      <c r="D3" s="23" t="s">
        <v>1269</v>
      </c>
      <c r="E3" s="23" t="s">
        <v>1280</v>
      </c>
      <c r="F3" s="63">
        <v>500</v>
      </c>
      <c r="G3" s="23" t="s">
        <v>1276</v>
      </c>
      <c r="H3" s="23" t="s">
        <v>1281</v>
      </c>
      <c r="I3" s="23" t="s">
        <v>1282</v>
      </c>
      <c r="J3" s="23" t="s">
        <v>1279</v>
      </c>
      <c r="K3" s="23" t="s">
        <v>104</v>
      </c>
      <c r="L3" s="22"/>
      <c r="M3" s="22"/>
      <c r="N3" s="22"/>
    </row>
    <row r="4" spans="1:14" x14ac:dyDescent="0.25">
      <c r="A4" s="23" t="s">
        <v>1283</v>
      </c>
      <c r="B4" s="63">
        <v>2025</v>
      </c>
      <c r="C4" s="23" t="s">
        <v>1274</v>
      </c>
      <c r="D4" s="23" t="s">
        <v>1284</v>
      </c>
      <c r="E4" s="23" t="s">
        <v>1285</v>
      </c>
      <c r="F4" s="63">
        <v>2500</v>
      </c>
      <c r="G4" s="23" t="s">
        <v>1286</v>
      </c>
      <c r="H4" s="23" t="s">
        <v>1287</v>
      </c>
      <c r="I4" s="23" t="s">
        <v>1288</v>
      </c>
      <c r="J4" s="23" t="s">
        <v>1289</v>
      </c>
      <c r="K4" s="23" t="s">
        <v>104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E7388-0136-4BBA-B555-54E4655E59F1}">
  <dimension ref="A1:E519"/>
  <sheetViews>
    <sheetView workbookViewId="0">
      <pane xSplit="1" ySplit="1" topLeftCell="B2" activePane="bottomRight" state="frozen"/>
      <selection pane="topRight" activeCell="B1" sqref="B1"/>
      <selection pane="bottomLeft" activeCell="A2" sqref="A2"/>
      <selection pane="bottomRight" activeCell="A519" sqref="A1:XFD519"/>
    </sheetView>
  </sheetViews>
  <sheetFormatPr defaultColWidth="81.75" defaultRowHeight="15.75" x14ac:dyDescent="0.25"/>
  <cols>
    <col min="1" max="1" width="7.875" style="2" bestFit="1" customWidth="1"/>
    <col min="2" max="2" width="21.5" style="2" bestFit="1" customWidth="1"/>
    <col min="3" max="3" width="82.75" style="2" customWidth="1"/>
    <col min="4" max="4" width="39.625" style="2" bestFit="1" customWidth="1"/>
    <col min="5" max="5" width="19.5" style="2" bestFit="1" customWidth="1"/>
    <col min="6" max="16384" width="81.75" style="2"/>
  </cols>
  <sheetData>
    <row r="1" spans="1:5" x14ac:dyDescent="0.25">
      <c r="A1" s="21" t="s">
        <v>930</v>
      </c>
      <c r="B1" s="21" t="s">
        <v>931</v>
      </c>
      <c r="C1" s="21" t="s">
        <v>932</v>
      </c>
      <c r="D1" s="21" t="s">
        <v>933</v>
      </c>
      <c r="E1" s="21" t="s">
        <v>934</v>
      </c>
    </row>
    <row r="2" spans="1:5" ht="31.5" x14ac:dyDescent="0.25">
      <c r="A2" s="22" t="s">
        <v>935</v>
      </c>
      <c r="B2" s="22" t="s">
        <v>936</v>
      </c>
      <c r="C2" s="22" t="s">
        <v>937</v>
      </c>
      <c r="D2" s="22" t="s">
        <v>938</v>
      </c>
      <c r="E2" s="22" t="s">
        <v>513</v>
      </c>
    </row>
    <row r="3" spans="1:5" ht="48" x14ac:dyDescent="0.25">
      <c r="A3" s="22" t="s">
        <v>939</v>
      </c>
      <c r="B3" s="22" t="s">
        <v>940</v>
      </c>
      <c r="C3" s="57" t="s">
        <v>941</v>
      </c>
      <c r="D3" s="22" t="s">
        <v>938</v>
      </c>
      <c r="E3" s="22" t="s">
        <v>513</v>
      </c>
    </row>
    <row r="4" spans="1:5" ht="31.5" x14ac:dyDescent="0.25">
      <c r="A4" s="22" t="s">
        <v>942</v>
      </c>
      <c r="B4" s="22" t="s">
        <v>943</v>
      </c>
      <c r="C4" s="22" t="s">
        <v>944</v>
      </c>
      <c r="D4" s="22" t="s">
        <v>945</v>
      </c>
      <c r="E4" s="22" t="s">
        <v>513</v>
      </c>
    </row>
    <row r="5" spans="1:5" ht="31.5" x14ac:dyDescent="0.25">
      <c r="A5" s="22" t="s">
        <v>946</v>
      </c>
      <c r="B5" s="22" t="s">
        <v>947</v>
      </c>
      <c r="C5" s="22" t="s">
        <v>948</v>
      </c>
      <c r="D5" s="22" t="s">
        <v>949</v>
      </c>
      <c r="E5" s="22" t="s">
        <v>513</v>
      </c>
    </row>
    <row r="6" spans="1:5" ht="31.5" x14ac:dyDescent="0.25">
      <c r="A6" s="22" t="s">
        <v>950</v>
      </c>
      <c r="B6" s="22" t="s">
        <v>951</v>
      </c>
      <c r="C6" s="22" t="s">
        <v>952</v>
      </c>
      <c r="D6" s="22" t="s">
        <v>953</v>
      </c>
      <c r="E6" s="22" t="s">
        <v>513</v>
      </c>
    </row>
    <row r="7" spans="1:5" ht="32.25" x14ac:dyDescent="0.25">
      <c r="A7" s="22" t="s">
        <v>954</v>
      </c>
      <c r="B7" s="22" t="s">
        <v>955</v>
      </c>
      <c r="C7" s="22" t="s">
        <v>956</v>
      </c>
      <c r="D7" s="22" t="s">
        <v>957</v>
      </c>
      <c r="E7" s="22" t="s">
        <v>513</v>
      </c>
    </row>
    <row r="8" spans="1:5" x14ac:dyDescent="0.25">
      <c r="A8" s="22" t="s">
        <v>958</v>
      </c>
      <c r="B8" s="22" t="s">
        <v>163</v>
      </c>
      <c r="C8" s="22" t="s">
        <v>959</v>
      </c>
      <c r="D8" s="22" t="s">
        <v>960</v>
      </c>
      <c r="E8" s="22" t="s">
        <v>513</v>
      </c>
    </row>
    <row r="9" spans="1:5" ht="31.5" x14ac:dyDescent="0.25">
      <c r="A9" s="22" t="s">
        <v>961</v>
      </c>
      <c r="B9" s="22" t="s">
        <v>962</v>
      </c>
      <c r="C9" s="22" t="s">
        <v>963</v>
      </c>
      <c r="D9" s="22" t="s">
        <v>960</v>
      </c>
      <c r="E9" s="22" t="s">
        <v>513</v>
      </c>
    </row>
    <row r="10" spans="1:5" ht="31.5" x14ac:dyDescent="0.25">
      <c r="A10" s="22" t="s">
        <v>964</v>
      </c>
      <c r="B10" s="22" t="s">
        <v>965</v>
      </c>
      <c r="C10" s="22" t="s">
        <v>966</v>
      </c>
      <c r="D10" s="22" t="s">
        <v>967</v>
      </c>
      <c r="E10" s="22" t="s">
        <v>513</v>
      </c>
    </row>
    <row r="11" spans="1:5" ht="31.5" x14ac:dyDescent="0.25">
      <c r="A11" s="22" t="s">
        <v>968</v>
      </c>
      <c r="B11" s="22" t="s">
        <v>969</v>
      </c>
      <c r="C11" s="22" t="s">
        <v>970</v>
      </c>
      <c r="D11" s="22" t="s">
        <v>971</v>
      </c>
      <c r="E11" s="22" t="s">
        <v>972</v>
      </c>
    </row>
    <row r="12" spans="1:5" ht="32.25" x14ac:dyDescent="0.25">
      <c r="A12" s="22" t="s">
        <v>973</v>
      </c>
      <c r="B12" s="22" t="s">
        <v>794</v>
      </c>
      <c r="C12" s="22" t="s">
        <v>974</v>
      </c>
      <c r="D12" s="22" t="s">
        <v>793</v>
      </c>
      <c r="E12" s="22" t="s">
        <v>513</v>
      </c>
    </row>
    <row r="13" spans="1:5" ht="47.25" x14ac:dyDescent="0.25">
      <c r="A13" s="22" t="s">
        <v>975</v>
      </c>
      <c r="B13" s="22" t="s">
        <v>794</v>
      </c>
      <c r="C13" s="22" t="s">
        <v>976</v>
      </c>
      <c r="D13" s="22" t="s">
        <v>793</v>
      </c>
      <c r="E13" s="22" t="s">
        <v>513</v>
      </c>
    </row>
    <row r="14" spans="1:5" ht="31.5" x14ac:dyDescent="0.25">
      <c r="A14" s="22" t="s">
        <v>977</v>
      </c>
      <c r="B14" s="22" t="s">
        <v>797</v>
      </c>
      <c r="C14" s="22" t="s">
        <v>978</v>
      </c>
      <c r="D14" s="22" t="s">
        <v>796</v>
      </c>
      <c r="E14" s="22" t="s">
        <v>513</v>
      </c>
    </row>
    <row r="15" spans="1:5" ht="31.5" x14ac:dyDescent="0.25">
      <c r="A15" s="22" t="s">
        <v>979</v>
      </c>
      <c r="B15" s="22" t="s">
        <v>831</v>
      </c>
      <c r="C15" s="22" t="s">
        <v>980</v>
      </c>
      <c r="D15" s="22" t="s">
        <v>830</v>
      </c>
      <c r="E15" s="22" t="s">
        <v>513</v>
      </c>
    </row>
    <row r="16" spans="1:5" ht="31.5" x14ac:dyDescent="0.25">
      <c r="A16" s="22" t="s">
        <v>981</v>
      </c>
      <c r="B16" s="22" t="s">
        <v>327</v>
      </c>
      <c r="C16" s="22" t="s">
        <v>982</v>
      </c>
      <c r="D16" s="22" t="s">
        <v>983</v>
      </c>
      <c r="E16" s="22" t="s">
        <v>513</v>
      </c>
    </row>
    <row r="17" spans="1:5" ht="32.25" x14ac:dyDescent="0.25">
      <c r="A17" s="22" t="s">
        <v>984</v>
      </c>
      <c r="B17" s="22" t="s">
        <v>804</v>
      </c>
      <c r="C17" s="22" t="s">
        <v>985</v>
      </c>
      <c r="D17" s="22" t="s">
        <v>803</v>
      </c>
      <c r="E17" s="22" t="s">
        <v>513</v>
      </c>
    </row>
    <row r="18" spans="1:5" ht="31.5" x14ac:dyDescent="0.25">
      <c r="A18" s="22" t="s">
        <v>986</v>
      </c>
      <c r="B18" s="22" t="s">
        <v>327</v>
      </c>
      <c r="C18" s="22" t="s">
        <v>987</v>
      </c>
      <c r="D18" s="22" t="s">
        <v>988</v>
      </c>
      <c r="E18" s="22" t="s">
        <v>513</v>
      </c>
    </row>
    <row r="19" spans="1:5" ht="31.5" x14ac:dyDescent="0.25">
      <c r="A19" s="22" t="s">
        <v>989</v>
      </c>
      <c r="B19" s="22" t="s">
        <v>14</v>
      </c>
      <c r="C19" s="22" t="s">
        <v>990</v>
      </c>
      <c r="D19" s="22" t="s">
        <v>991</v>
      </c>
      <c r="E19" s="22" t="s">
        <v>513</v>
      </c>
    </row>
    <row r="20" spans="1:5" ht="31.5" x14ac:dyDescent="0.25">
      <c r="A20" s="22" t="s">
        <v>992</v>
      </c>
      <c r="B20" s="22" t="s">
        <v>335</v>
      </c>
      <c r="C20" s="22" t="s">
        <v>993</v>
      </c>
      <c r="D20" s="22" t="s">
        <v>334</v>
      </c>
      <c r="E20" s="22" t="s">
        <v>972</v>
      </c>
    </row>
    <row r="21" spans="1:5" ht="32.25" x14ac:dyDescent="0.25">
      <c r="A21" s="22" t="s">
        <v>994</v>
      </c>
      <c r="B21" s="22" t="s">
        <v>337</v>
      </c>
      <c r="C21" s="22" t="s">
        <v>995</v>
      </c>
      <c r="D21" s="22" t="s">
        <v>996</v>
      </c>
      <c r="E21" s="22" t="s">
        <v>513</v>
      </c>
    </row>
    <row r="22" spans="1:5" ht="31.5" x14ac:dyDescent="0.25">
      <c r="A22" s="22" t="s">
        <v>997</v>
      </c>
      <c r="B22" s="22" t="s">
        <v>809</v>
      </c>
      <c r="C22" s="22" t="s">
        <v>998</v>
      </c>
      <c r="D22" s="22" t="s">
        <v>808</v>
      </c>
      <c r="E22" s="22" t="s">
        <v>513</v>
      </c>
    </row>
    <row r="23" spans="1:5" ht="32.25" x14ac:dyDescent="0.25">
      <c r="A23" s="22" t="s">
        <v>999</v>
      </c>
      <c r="B23" s="22" t="s">
        <v>1000</v>
      </c>
      <c r="C23" s="22" t="s">
        <v>1001</v>
      </c>
      <c r="D23" s="22" t="s">
        <v>1002</v>
      </c>
      <c r="E23" s="22" t="s">
        <v>513</v>
      </c>
    </row>
    <row r="24" spans="1:5" ht="32.25" x14ac:dyDescent="0.25">
      <c r="A24" s="22" t="s">
        <v>1003</v>
      </c>
      <c r="B24" s="22" t="s">
        <v>360</v>
      </c>
      <c r="C24" s="57" t="s">
        <v>1004</v>
      </c>
      <c r="D24" s="22" t="s">
        <v>1005</v>
      </c>
      <c r="E24" s="22" t="s">
        <v>513</v>
      </c>
    </row>
    <row r="25" spans="1:5" ht="32.25" x14ac:dyDescent="0.25">
      <c r="A25" s="22" t="s">
        <v>1006</v>
      </c>
      <c r="B25" s="22" t="s">
        <v>1007</v>
      </c>
      <c r="C25" s="57" t="s">
        <v>1008</v>
      </c>
      <c r="D25" s="22" t="s">
        <v>1005</v>
      </c>
      <c r="E25" s="22" t="s">
        <v>513</v>
      </c>
    </row>
    <row r="26" spans="1:5" ht="31.5" x14ac:dyDescent="0.25">
      <c r="A26" s="22" t="s">
        <v>1009</v>
      </c>
      <c r="B26" s="22" t="s">
        <v>341</v>
      </c>
      <c r="C26" s="22" t="s">
        <v>1010</v>
      </c>
      <c r="D26" s="22" t="s">
        <v>1005</v>
      </c>
      <c r="E26" s="22" t="s">
        <v>513</v>
      </c>
    </row>
    <row r="27" spans="1:5" ht="31.5" x14ac:dyDescent="0.25">
      <c r="A27" s="22" t="s">
        <v>1011</v>
      </c>
      <c r="B27" s="22" t="s">
        <v>1012</v>
      </c>
      <c r="C27" s="22" t="s">
        <v>1013</v>
      </c>
      <c r="D27" s="22" t="s">
        <v>1014</v>
      </c>
      <c r="E27" s="22" t="s">
        <v>513</v>
      </c>
    </row>
    <row r="28" spans="1:5" ht="31.5" x14ac:dyDescent="0.25">
      <c r="A28" s="22" t="s">
        <v>1015</v>
      </c>
      <c r="B28" s="22" t="s">
        <v>1016</v>
      </c>
      <c r="C28" s="22" t="s">
        <v>1017</v>
      </c>
      <c r="D28" s="22" t="s">
        <v>1018</v>
      </c>
      <c r="E28" s="22" t="s">
        <v>972</v>
      </c>
    </row>
    <row r="29" spans="1:5" ht="31.5" x14ac:dyDescent="0.25">
      <c r="A29" s="22" t="s">
        <v>1019</v>
      </c>
      <c r="B29" s="22" t="s">
        <v>450</v>
      </c>
      <c r="C29" s="22" t="s">
        <v>1020</v>
      </c>
      <c r="D29" s="22" t="s">
        <v>1021</v>
      </c>
      <c r="E29" s="22" t="s">
        <v>513</v>
      </c>
    </row>
    <row r="30" spans="1:5" x14ac:dyDescent="0.25">
      <c r="A30" s="22" t="s">
        <v>1022</v>
      </c>
      <c r="B30" s="22" t="s">
        <v>450</v>
      </c>
      <c r="C30" s="22" t="s">
        <v>1023</v>
      </c>
      <c r="D30" s="22" t="s">
        <v>1021</v>
      </c>
      <c r="E30" s="22" t="s">
        <v>513</v>
      </c>
    </row>
    <row r="31" spans="1:5" ht="16.5" x14ac:dyDescent="0.25">
      <c r="A31" s="22" t="s">
        <v>1024</v>
      </c>
      <c r="B31" s="22" t="s">
        <v>1025</v>
      </c>
      <c r="C31" s="22" t="s">
        <v>1026</v>
      </c>
      <c r="D31" s="22" t="s">
        <v>1021</v>
      </c>
      <c r="E31" s="22" t="s">
        <v>513</v>
      </c>
    </row>
    <row r="32" spans="1:5" ht="32.25" x14ac:dyDescent="0.25">
      <c r="A32" s="22" t="s">
        <v>1027</v>
      </c>
      <c r="B32" s="22" t="s">
        <v>1028</v>
      </c>
      <c r="C32" s="22" t="s">
        <v>1029</v>
      </c>
      <c r="D32" s="22" t="s">
        <v>1021</v>
      </c>
      <c r="E32" s="22" t="s">
        <v>513</v>
      </c>
    </row>
    <row r="33" spans="1:5" ht="31.5" x14ac:dyDescent="0.25">
      <c r="A33" s="22" t="s">
        <v>1030</v>
      </c>
      <c r="B33" s="22" t="s">
        <v>1031</v>
      </c>
      <c r="C33" s="22" t="s">
        <v>1032</v>
      </c>
      <c r="D33" s="22" t="s">
        <v>1033</v>
      </c>
      <c r="E33" s="22" t="s">
        <v>513</v>
      </c>
    </row>
    <row r="34" spans="1:5" ht="31.5" x14ac:dyDescent="0.25">
      <c r="A34" s="22" t="s">
        <v>1034</v>
      </c>
      <c r="B34" s="22" t="s">
        <v>476</v>
      </c>
      <c r="C34" s="22" t="s">
        <v>1035</v>
      </c>
      <c r="D34" s="22" t="s">
        <v>1033</v>
      </c>
      <c r="E34" s="22" t="s">
        <v>513</v>
      </c>
    </row>
    <row r="35" spans="1:5" ht="31.5" x14ac:dyDescent="0.25">
      <c r="A35" s="22" t="s">
        <v>1036</v>
      </c>
      <c r="B35" s="22" t="s">
        <v>1037</v>
      </c>
      <c r="C35" s="22" t="s">
        <v>1038</v>
      </c>
      <c r="D35" s="22" t="s">
        <v>1039</v>
      </c>
      <c r="E35" s="22" t="s">
        <v>513</v>
      </c>
    </row>
    <row r="36" spans="1:5" x14ac:dyDescent="0.25">
      <c r="A36" s="22" t="s">
        <v>1040</v>
      </c>
      <c r="B36" s="22" t="s">
        <v>15</v>
      </c>
      <c r="C36" s="22" t="s">
        <v>1041</v>
      </c>
      <c r="D36" s="22" t="s">
        <v>1042</v>
      </c>
      <c r="E36" s="22" t="s">
        <v>513</v>
      </c>
    </row>
    <row r="37" spans="1:5" ht="31.5" x14ac:dyDescent="0.25">
      <c r="A37" s="22" t="s">
        <v>1043</v>
      </c>
      <c r="B37" s="22" t="s">
        <v>15</v>
      </c>
      <c r="C37" s="22" t="s">
        <v>1044</v>
      </c>
      <c r="D37" s="22" t="s">
        <v>1045</v>
      </c>
      <c r="E37" s="22" t="s">
        <v>513</v>
      </c>
    </row>
    <row r="38" spans="1:5" ht="31.5" x14ac:dyDescent="0.25">
      <c r="A38" s="22" t="s">
        <v>1046</v>
      </c>
      <c r="B38" s="22" t="s">
        <v>1047</v>
      </c>
      <c r="C38" s="22" t="s">
        <v>1048</v>
      </c>
      <c r="D38" s="22" t="s">
        <v>1045</v>
      </c>
      <c r="E38" s="22" t="s">
        <v>513</v>
      </c>
    </row>
    <row r="39" spans="1:5" ht="31.5" x14ac:dyDescent="0.25">
      <c r="A39" s="22" t="s">
        <v>1049</v>
      </c>
      <c r="B39" s="22" t="s">
        <v>1050</v>
      </c>
      <c r="C39" s="22" t="s">
        <v>1051</v>
      </c>
      <c r="D39" s="22" t="s">
        <v>1045</v>
      </c>
      <c r="E39" s="22" t="s">
        <v>513</v>
      </c>
    </row>
    <row r="40" spans="1:5" ht="33" x14ac:dyDescent="0.25">
      <c r="A40" s="22" t="s">
        <v>1052</v>
      </c>
      <c r="B40" s="22" t="s">
        <v>1053</v>
      </c>
      <c r="C40" s="22" t="s">
        <v>1054</v>
      </c>
      <c r="D40" s="22" t="s">
        <v>1045</v>
      </c>
      <c r="E40" s="22" t="s">
        <v>513</v>
      </c>
    </row>
    <row r="41" spans="1:5" ht="31.5" x14ac:dyDescent="0.25">
      <c r="A41" s="22" t="s">
        <v>1055</v>
      </c>
      <c r="B41" s="22" t="s">
        <v>1056</v>
      </c>
      <c r="C41" s="22" t="s">
        <v>1057</v>
      </c>
      <c r="D41" s="22" t="s">
        <v>1045</v>
      </c>
      <c r="E41" s="22" t="s">
        <v>513</v>
      </c>
    </row>
    <row r="42" spans="1:5" ht="31.5" x14ac:dyDescent="0.25">
      <c r="A42" s="22" t="s">
        <v>1058</v>
      </c>
      <c r="B42" s="22" t="s">
        <v>1059</v>
      </c>
      <c r="C42" s="22" t="s">
        <v>1060</v>
      </c>
      <c r="D42" s="22" t="s">
        <v>1061</v>
      </c>
      <c r="E42" s="22" t="s">
        <v>513</v>
      </c>
    </row>
    <row r="43" spans="1:5" ht="31.5" x14ac:dyDescent="0.25">
      <c r="A43" s="22" t="s">
        <v>1062</v>
      </c>
      <c r="B43" s="22" t="s">
        <v>1063</v>
      </c>
      <c r="C43" s="22" t="s">
        <v>1064</v>
      </c>
      <c r="D43" s="22" t="s">
        <v>1065</v>
      </c>
      <c r="E43" s="22" t="s">
        <v>513</v>
      </c>
    </row>
    <row r="44" spans="1:5" ht="31.5" x14ac:dyDescent="0.25">
      <c r="A44" s="22" t="s">
        <v>1066</v>
      </c>
      <c r="B44" s="22" t="s">
        <v>230</v>
      </c>
      <c r="C44" s="22" t="s">
        <v>1067</v>
      </c>
      <c r="D44" s="22" t="s">
        <v>1068</v>
      </c>
      <c r="E44" s="22" t="s">
        <v>513</v>
      </c>
    </row>
    <row r="45" spans="1:5" ht="31.5" x14ac:dyDescent="0.25">
      <c r="A45" s="22" t="s">
        <v>1069</v>
      </c>
      <c r="B45" s="22" t="s">
        <v>85</v>
      </c>
      <c r="C45" s="22" t="s">
        <v>1070</v>
      </c>
      <c r="D45" s="22" t="s">
        <v>1071</v>
      </c>
      <c r="E45" s="22" t="s">
        <v>513</v>
      </c>
    </row>
    <row r="46" spans="1:5" ht="31.5" x14ac:dyDescent="0.25">
      <c r="A46" s="22" t="s">
        <v>1072</v>
      </c>
      <c r="B46" s="22" t="s">
        <v>1073</v>
      </c>
      <c r="C46" s="22" t="s">
        <v>1074</v>
      </c>
      <c r="D46" s="22" t="s">
        <v>1075</v>
      </c>
      <c r="E46" s="22" t="s">
        <v>513</v>
      </c>
    </row>
    <row r="47" spans="1:5" x14ac:dyDescent="0.25">
      <c r="A47" s="22" t="s">
        <v>1076</v>
      </c>
      <c r="B47" s="22" t="s">
        <v>843</v>
      </c>
      <c r="C47" s="22" t="s">
        <v>1077</v>
      </c>
      <c r="D47" s="22" t="s">
        <v>842</v>
      </c>
      <c r="E47" s="22" t="s">
        <v>513</v>
      </c>
    </row>
    <row r="48" spans="1:5" ht="31.5" x14ac:dyDescent="0.25">
      <c r="A48" s="22" t="s">
        <v>1078</v>
      </c>
      <c r="B48" s="22" t="s">
        <v>1079</v>
      </c>
      <c r="C48" s="22" t="s">
        <v>1080</v>
      </c>
      <c r="D48" s="22" t="s">
        <v>1081</v>
      </c>
      <c r="E48" s="22" t="s">
        <v>513</v>
      </c>
    </row>
    <row r="49" spans="1:5" ht="126" x14ac:dyDescent="0.25">
      <c r="A49" s="22" t="s">
        <v>1082</v>
      </c>
      <c r="B49" s="22" t="s">
        <v>1170</v>
      </c>
      <c r="C49" s="22" t="s">
        <v>1209</v>
      </c>
      <c r="D49" s="22" t="s">
        <v>1210</v>
      </c>
      <c r="E49" s="22" t="s">
        <v>1211</v>
      </c>
    </row>
    <row r="50" spans="1:5" ht="31.5" x14ac:dyDescent="0.25">
      <c r="A50" s="22" t="s">
        <v>1083</v>
      </c>
      <c r="B50" s="22" t="s">
        <v>1084</v>
      </c>
      <c r="C50" s="22" t="s">
        <v>1085</v>
      </c>
      <c r="D50" s="22" t="s">
        <v>1086</v>
      </c>
      <c r="E50" s="22" t="s">
        <v>513</v>
      </c>
    </row>
    <row r="51" spans="1:5" ht="31.5" x14ac:dyDescent="0.25">
      <c r="A51" s="22" t="s">
        <v>1087</v>
      </c>
      <c r="B51" s="22" t="s">
        <v>1088</v>
      </c>
      <c r="C51" s="22" t="s">
        <v>1089</v>
      </c>
      <c r="D51" s="22" t="s">
        <v>1090</v>
      </c>
      <c r="E51" s="22" t="s">
        <v>513</v>
      </c>
    </row>
    <row r="52" spans="1:5" ht="31.5" x14ac:dyDescent="0.25">
      <c r="A52" s="22" t="s">
        <v>1091</v>
      </c>
      <c r="B52" s="22" t="s">
        <v>4</v>
      </c>
      <c r="C52" s="22" t="s">
        <v>1092</v>
      </c>
      <c r="D52" s="22" t="s">
        <v>1093</v>
      </c>
      <c r="E52" s="22" t="s">
        <v>513</v>
      </c>
    </row>
    <row r="53" spans="1:5" ht="31.5" x14ac:dyDescent="0.25">
      <c r="A53" s="22" t="s">
        <v>1094</v>
      </c>
      <c r="B53" s="22" t="s">
        <v>1095</v>
      </c>
      <c r="C53" s="22" t="s">
        <v>1096</v>
      </c>
      <c r="D53" s="22" t="s">
        <v>1097</v>
      </c>
      <c r="E53" s="22" t="s">
        <v>513</v>
      </c>
    </row>
    <row r="54" spans="1:5" ht="31.5" x14ac:dyDescent="0.25">
      <c r="A54" s="22" t="s">
        <v>1098</v>
      </c>
      <c r="B54" s="22" t="s">
        <v>1099</v>
      </c>
      <c r="C54" s="22" t="s">
        <v>1100</v>
      </c>
      <c r="D54" s="22" t="s">
        <v>1097</v>
      </c>
      <c r="E54" s="22" t="s">
        <v>513</v>
      </c>
    </row>
    <row r="55" spans="1:5" ht="31.5" x14ac:dyDescent="0.25">
      <c r="A55" s="22" t="s">
        <v>1101</v>
      </c>
      <c r="B55" s="22" t="s">
        <v>1102</v>
      </c>
      <c r="C55" s="22" t="s">
        <v>1103</v>
      </c>
      <c r="D55" s="22" t="s">
        <v>1097</v>
      </c>
      <c r="E55" s="22" t="s">
        <v>972</v>
      </c>
    </row>
    <row r="56" spans="1:5" ht="31.5" x14ac:dyDescent="0.25">
      <c r="A56" s="22" t="s">
        <v>1104</v>
      </c>
      <c r="B56" s="22" t="s">
        <v>1105</v>
      </c>
      <c r="C56" s="22" t="s">
        <v>1106</v>
      </c>
      <c r="D56" s="22" t="s">
        <v>1107</v>
      </c>
      <c r="E56" s="22" t="s">
        <v>513</v>
      </c>
    </row>
    <row r="57" spans="1:5" ht="31.5" x14ac:dyDescent="0.25">
      <c r="A57" s="22" t="s">
        <v>1108</v>
      </c>
      <c r="B57" s="22" t="s">
        <v>1109</v>
      </c>
      <c r="C57" s="22" t="s">
        <v>1110</v>
      </c>
      <c r="D57" s="22" t="s">
        <v>749</v>
      </c>
      <c r="E57" s="22" t="s">
        <v>513</v>
      </c>
    </row>
    <row r="58" spans="1:5" x14ac:dyDescent="0.25">
      <c r="A58" s="22" t="s">
        <v>1111</v>
      </c>
      <c r="B58" s="22" t="s">
        <v>1112</v>
      </c>
      <c r="C58" s="22" t="s">
        <v>1113</v>
      </c>
      <c r="D58" s="22" t="s">
        <v>760</v>
      </c>
      <c r="E58" s="22" t="s">
        <v>513</v>
      </c>
    </row>
    <row r="59" spans="1:5" ht="31.5" x14ac:dyDescent="0.25">
      <c r="A59" s="22" t="s">
        <v>1114</v>
      </c>
      <c r="B59" s="22" t="s">
        <v>1115</v>
      </c>
      <c r="C59" s="22" t="s">
        <v>1116</v>
      </c>
      <c r="D59" s="22" t="s">
        <v>1117</v>
      </c>
      <c r="E59" s="22" t="s">
        <v>513</v>
      </c>
    </row>
    <row r="60" spans="1:5" ht="31.5" x14ac:dyDescent="0.25">
      <c r="A60" s="22" t="s">
        <v>1118</v>
      </c>
      <c r="B60" s="22" t="s">
        <v>1119</v>
      </c>
      <c r="C60" s="22" t="s">
        <v>1120</v>
      </c>
      <c r="D60" s="22" t="s">
        <v>1117</v>
      </c>
      <c r="E60" s="22" t="s">
        <v>513</v>
      </c>
    </row>
    <row r="61" spans="1:5" ht="31.5" x14ac:dyDescent="0.25">
      <c r="A61" s="22" t="s">
        <v>1121</v>
      </c>
      <c r="B61" s="22" t="s">
        <v>1122</v>
      </c>
      <c r="C61" s="22" t="s">
        <v>1123</v>
      </c>
      <c r="D61" s="22" t="s">
        <v>1124</v>
      </c>
      <c r="E61" s="22" t="s">
        <v>513</v>
      </c>
    </row>
    <row r="62" spans="1:5" ht="31.5" x14ac:dyDescent="0.25">
      <c r="A62" s="22" t="s">
        <v>1125</v>
      </c>
      <c r="B62" s="22" t="s">
        <v>1126</v>
      </c>
      <c r="C62" s="22" t="s">
        <v>1127</v>
      </c>
      <c r="D62" s="22" t="s">
        <v>1128</v>
      </c>
      <c r="E62" s="22" t="s">
        <v>513</v>
      </c>
    </row>
    <row r="63" spans="1:5" ht="31.5" x14ac:dyDescent="0.25">
      <c r="A63" s="22" t="s">
        <v>1129</v>
      </c>
      <c r="B63" s="22" t="s">
        <v>1130</v>
      </c>
      <c r="C63" s="22" t="s">
        <v>1131</v>
      </c>
      <c r="D63" s="22" t="s">
        <v>1132</v>
      </c>
      <c r="E63" s="22" t="s">
        <v>513</v>
      </c>
    </row>
    <row r="64" spans="1:5" x14ac:dyDescent="0.25">
      <c r="A64" s="22" t="s">
        <v>1133</v>
      </c>
      <c r="B64" s="22" t="s">
        <v>1134</v>
      </c>
      <c r="C64" s="22" t="s">
        <v>1135</v>
      </c>
      <c r="D64" s="22" t="s">
        <v>1136</v>
      </c>
      <c r="E64" s="22" t="s">
        <v>513</v>
      </c>
    </row>
    <row r="65" spans="1:5" ht="31.5" x14ac:dyDescent="0.25">
      <c r="A65" s="22" t="s">
        <v>1137</v>
      </c>
      <c r="B65" s="22" t="s">
        <v>1138</v>
      </c>
      <c r="C65" s="22" t="s">
        <v>1139</v>
      </c>
      <c r="D65" s="22" t="s">
        <v>1136</v>
      </c>
      <c r="E65" s="22" t="s">
        <v>972</v>
      </c>
    </row>
    <row r="66" spans="1:5" ht="31.5" x14ac:dyDescent="0.25">
      <c r="A66" s="22" t="s">
        <v>1140</v>
      </c>
      <c r="B66" s="22" t="s">
        <v>1141</v>
      </c>
      <c r="C66" s="22" t="s">
        <v>1142</v>
      </c>
      <c r="D66" s="22" t="s">
        <v>1136</v>
      </c>
      <c r="E66" s="22" t="s">
        <v>513</v>
      </c>
    </row>
    <row r="67" spans="1:5" x14ac:dyDescent="0.25">
      <c r="A67" s="22" t="s">
        <v>1143</v>
      </c>
      <c r="B67" s="22" t="s">
        <v>1144</v>
      </c>
      <c r="C67" s="22" t="s">
        <v>1145</v>
      </c>
      <c r="D67" s="22" t="s">
        <v>1136</v>
      </c>
      <c r="E67" s="22" t="s">
        <v>972</v>
      </c>
    </row>
    <row r="68" spans="1:5" ht="31.5" x14ac:dyDescent="0.25">
      <c r="A68" s="22" t="s">
        <v>1146</v>
      </c>
      <c r="B68" s="22" t="s">
        <v>1147</v>
      </c>
      <c r="C68" s="22" t="s">
        <v>1148</v>
      </c>
      <c r="D68" s="22" t="s">
        <v>1149</v>
      </c>
      <c r="E68" s="22" t="s">
        <v>513</v>
      </c>
    </row>
    <row r="69" spans="1:5" ht="31.5" x14ac:dyDescent="0.25">
      <c r="A69" s="22" t="s">
        <v>1150</v>
      </c>
      <c r="B69" s="22" t="s">
        <v>1151</v>
      </c>
      <c r="C69" s="22" t="s">
        <v>1152</v>
      </c>
      <c r="D69" s="22" t="s">
        <v>1153</v>
      </c>
      <c r="E69" s="22" t="s">
        <v>513</v>
      </c>
    </row>
    <row r="70" spans="1:5" ht="31.5" x14ac:dyDescent="0.25">
      <c r="A70" s="22" t="s">
        <v>1154</v>
      </c>
      <c r="B70" s="22" t="s">
        <v>1155</v>
      </c>
      <c r="C70" s="22" t="s">
        <v>1156</v>
      </c>
      <c r="D70" s="22" t="s">
        <v>1157</v>
      </c>
      <c r="E70" s="22" t="s">
        <v>513</v>
      </c>
    </row>
    <row r="71" spans="1:5" ht="32.25" x14ac:dyDescent="0.25">
      <c r="A71" s="22" t="s">
        <v>1158</v>
      </c>
      <c r="B71" s="22" t="s">
        <v>1159</v>
      </c>
      <c r="C71" s="22" t="s">
        <v>1160</v>
      </c>
      <c r="D71" s="22" t="s">
        <v>1161</v>
      </c>
      <c r="E71" s="25" t="s">
        <v>1162</v>
      </c>
    </row>
    <row r="72" spans="1:5" ht="31.5" x14ac:dyDescent="0.25">
      <c r="A72" s="22" t="s">
        <v>1163</v>
      </c>
      <c r="B72" s="22" t="s">
        <v>1164</v>
      </c>
      <c r="C72" s="22" t="s">
        <v>1165</v>
      </c>
      <c r="D72" s="22" t="s">
        <v>1117</v>
      </c>
      <c r="E72" s="22" t="s">
        <v>972</v>
      </c>
    </row>
    <row r="73" spans="1:5" ht="47.25" x14ac:dyDescent="0.25">
      <c r="A73" s="22" t="s">
        <v>1166</v>
      </c>
      <c r="B73" s="22" t="s">
        <v>1167</v>
      </c>
      <c r="C73" s="22" t="s">
        <v>1168</v>
      </c>
      <c r="D73" s="22" t="s">
        <v>1117</v>
      </c>
      <c r="E73" s="22" t="s">
        <v>513</v>
      </c>
    </row>
    <row r="74" spans="1:5" ht="32.25" x14ac:dyDescent="0.25">
      <c r="A74" s="22" t="s">
        <v>1169</v>
      </c>
      <c r="B74" s="22" t="s">
        <v>1170</v>
      </c>
      <c r="C74" s="22" t="s">
        <v>1171</v>
      </c>
      <c r="D74" s="22" t="s">
        <v>1172</v>
      </c>
      <c r="E74" s="22" t="s">
        <v>513</v>
      </c>
    </row>
    <row r="75" spans="1:5" ht="31.5" x14ac:dyDescent="0.25">
      <c r="A75" s="22" t="s">
        <v>1173</v>
      </c>
      <c r="B75" s="22" t="s">
        <v>1174</v>
      </c>
      <c r="C75" s="22" t="s">
        <v>1175</v>
      </c>
      <c r="D75" s="22" t="s">
        <v>1128</v>
      </c>
      <c r="E75" s="22" t="s">
        <v>513</v>
      </c>
    </row>
    <row r="76" spans="1:5" ht="47.25" x14ac:dyDescent="0.25">
      <c r="A76" s="22" t="s">
        <v>1176</v>
      </c>
      <c r="B76" s="22" t="s">
        <v>1177</v>
      </c>
      <c r="C76" s="22" t="s">
        <v>1178</v>
      </c>
      <c r="D76" s="22" t="s">
        <v>1179</v>
      </c>
      <c r="E76" s="22" t="s">
        <v>513</v>
      </c>
    </row>
    <row r="77" spans="1:5" ht="31.5" x14ac:dyDescent="0.25">
      <c r="A77" s="22" t="s">
        <v>1180</v>
      </c>
      <c r="B77" s="22" t="s">
        <v>360</v>
      </c>
      <c r="C77" s="22" t="s">
        <v>1181</v>
      </c>
      <c r="D77" s="22" t="s">
        <v>1182</v>
      </c>
      <c r="E77" s="22" t="s">
        <v>513</v>
      </c>
    </row>
    <row r="78" spans="1:5" ht="31.5" x14ac:dyDescent="0.25">
      <c r="A78" s="22" t="s">
        <v>1183</v>
      </c>
      <c r="B78" s="22" t="s">
        <v>1184</v>
      </c>
      <c r="C78" s="22" t="s">
        <v>1185</v>
      </c>
      <c r="D78" s="22" t="s">
        <v>1186</v>
      </c>
      <c r="E78" s="22" t="s">
        <v>513</v>
      </c>
    </row>
    <row r="79" spans="1:5" ht="31.5" x14ac:dyDescent="0.25">
      <c r="A79" s="22" t="s">
        <v>1187</v>
      </c>
      <c r="B79" s="22" t="s">
        <v>1188</v>
      </c>
      <c r="C79" s="22" t="s">
        <v>1189</v>
      </c>
      <c r="D79" s="22" t="s">
        <v>1190</v>
      </c>
      <c r="E79" s="22" t="s">
        <v>513</v>
      </c>
    </row>
    <row r="80" spans="1:5" ht="31.5" x14ac:dyDescent="0.25">
      <c r="A80" s="22" t="s">
        <v>1191</v>
      </c>
      <c r="B80" s="22" t="s">
        <v>1192</v>
      </c>
      <c r="C80" s="22" t="s">
        <v>1193</v>
      </c>
      <c r="D80" s="22" t="s">
        <v>1172</v>
      </c>
      <c r="E80" s="22" t="s">
        <v>513</v>
      </c>
    </row>
    <row r="81" spans="1:5" x14ac:dyDescent="0.25">
      <c r="A81" s="22" t="s">
        <v>1194</v>
      </c>
      <c r="B81" s="22" t="s">
        <v>1195</v>
      </c>
      <c r="C81" s="22" t="s">
        <v>1196</v>
      </c>
      <c r="D81" s="22" t="s">
        <v>1197</v>
      </c>
      <c r="E81" s="22" t="s">
        <v>513</v>
      </c>
    </row>
    <row r="82" spans="1:5" ht="31.5" x14ac:dyDescent="0.25">
      <c r="A82" s="22" t="s">
        <v>1198</v>
      </c>
      <c r="B82" s="22" t="s">
        <v>1079</v>
      </c>
      <c r="C82" s="22" t="s">
        <v>1199</v>
      </c>
      <c r="D82" s="22" t="s">
        <v>1081</v>
      </c>
      <c r="E82" s="22" t="s">
        <v>513</v>
      </c>
    </row>
    <row r="83" spans="1:5" ht="31.5" x14ac:dyDescent="0.25">
      <c r="A83" s="22" t="s">
        <v>1200</v>
      </c>
      <c r="B83" s="22" t="s">
        <v>1201</v>
      </c>
      <c r="C83" s="22" t="s">
        <v>1202</v>
      </c>
      <c r="D83" s="22" t="s">
        <v>1033</v>
      </c>
      <c r="E83" s="22" t="s">
        <v>513</v>
      </c>
    </row>
    <row r="84" spans="1:5" ht="47.25" x14ac:dyDescent="0.25">
      <c r="A84" s="22" t="s">
        <v>1203</v>
      </c>
      <c r="B84" s="22" t="s">
        <v>1204</v>
      </c>
      <c r="C84" s="22" t="s">
        <v>1205</v>
      </c>
      <c r="D84" s="22" t="s">
        <v>1141</v>
      </c>
      <c r="E84" s="22" t="s">
        <v>972</v>
      </c>
    </row>
    <row r="85" spans="1:5" ht="31.5" x14ac:dyDescent="0.25">
      <c r="A85" s="22" t="s">
        <v>1206</v>
      </c>
      <c r="B85" s="22" t="s">
        <v>1207</v>
      </c>
      <c r="C85" s="22" t="s">
        <v>1208</v>
      </c>
      <c r="D85" s="22" t="s">
        <v>1128</v>
      </c>
      <c r="E85" s="22" t="s">
        <v>513</v>
      </c>
    </row>
    <row r="86" spans="1:5" ht="94.5" x14ac:dyDescent="0.25">
      <c r="A86" s="22" t="s">
        <v>1374</v>
      </c>
      <c r="B86" s="22" t="s">
        <v>1375</v>
      </c>
      <c r="C86" s="22" t="s">
        <v>1376</v>
      </c>
      <c r="D86" s="22" t="s">
        <v>1377</v>
      </c>
      <c r="E86" s="22" t="s">
        <v>513</v>
      </c>
    </row>
    <row r="87" spans="1:5" ht="47.25" x14ac:dyDescent="0.25">
      <c r="A87" s="22" t="s">
        <v>1378</v>
      </c>
      <c r="B87" s="22" t="s">
        <v>341</v>
      </c>
      <c r="C87" s="22" t="s">
        <v>1379</v>
      </c>
      <c r="D87" s="22" t="s">
        <v>1380</v>
      </c>
      <c r="E87" s="22" t="s">
        <v>513</v>
      </c>
    </row>
    <row r="88" spans="1:5" ht="47.25" x14ac:dyDescent="0.25">
      <c r="A88" s="22" t="s">
        <v>1381</v>
      </c>
      <c r="B88" s="22" t="s">
        <v>341</v>
      </c>
      <c r="C88" s="22" t="s">
        <v>1382</v>
      </c>
      <c r="D88" s="22" t="s">
        <v>1383</v>
      </c>
      <c r="E88" s="22" t="s">
        <v>513</v>
      </c>
    </row>
    <row r="89" spans="1:5" ht="47.25" x14ac:dyDescent="0.25">
      <c r="A89" s="22" t="s">
        <v>1384</v>
      </c>
      <c r="B89" s="22" t="s">
        <v>1037</v>
      </c>
      <c r="C89" s="22" t="s">
        <v>1385</v>
      </c>
      <c r="D89" s="22" t="s">
        <v>1386</v>
      </c>
      <c r="E89" s="22" t="s">
        <v>513</v>
      </c>
    </row>
    <row r="90" spans="1:5" ht="47.25" x14ac:dyDescent="0.25">
      <c r="A90" s="22" t="s">
        <v>1387</v>
      </c>
      <c r="B90" s="22" t="s">
        <v>1388</v>
      </c>
      <c r="C90" s="22" t="s">
        <v>1389</v>
      </c>
      <c r="D90" s="22" t="s">
        <v>1390</v>
      </c>
      <c r="E90" s="22" t="s">
        <v>513</v>
      </c>
    </row>
    <row r="91" spans="1:5" ht="63" x14ac:dyDescent="0.25">
      <c r="A91" s="22" t="s">
        <v>1391</v>
      </c>
      <c r="B91" s="22" t="s">
        <v>951</v>
      </c>
      <c r="C91" s="22" t="s">
        <v>1396</v>
      </c>
      <c r="D91" s="22" t="s">
        <v>1397</v>
      </c>
      <c r="E91" s="22" t="s">
        <v>513</v>
      </c>
    </row>
    <row r="92" spans="1:5" ht="47.25" x14ac:dyDescent="0.25">
      <c r="A92" s="22" t="s">
        <v>1392</v>
      </c>
      <c r="B92" s="22" t="s">
        <v>1393</v>
      </c>
      <c r="C92" s="22" t="s">
        <v>1394</v>
      </c>
      <c r="D92" s="22" t="s">
        <v>1395</v>
      </c>
      <c r="E92" s="22" t="s">
        <v>513</v>
      </c>
    </row>
    <row r="93" spans="1:5" ht="47.25" x14ac:dyDescent="0.25">
      <c r="A93" s="22" t="s">
        <v>1398</v>
      </c>
      <c r="B93" s="22" t="s">
        <v>1399</v>
      </c>
      <c r="C93" s="22" t="s">
        <v>1400</v>
      </c>
      <c r="D93" s="22" t="s">
        <v>1401</v>
      </c>
      <c r="E93" s="22" t="s">
        <v>513</v>
      </c>
    </row>
    <row r="94" spans="1:5" ht="31.5" x14ac:dyDescent="0.25">
      <c r="A94" s="22" t="s">
        <v>1402</v>
      </c>
      <c r="B94" s="22" t="s">
        <v>1403</v>
      </c>
      <c r="C94" s="22" t="s">
        <v>1404</v>
      </c>
      <c r="D94" s="22" t="s">
        <v>1405</v>
      </c>
      <c r="E94" s="22" t="s">
        <v>513</v>
      </c>
    </row>
    <row r="95" spans="1:5" ht="47.25" x14ac:dyDescent="0.25">
      <c r="A95" s="22" t="s">
        <v>1406</v>
      </c>
      <c r="B95" s="22" t="s">
        <v>1407</v>
      </c>
      <c r="C95" s="22" t="s">
        <v>1408</v>
      </c>
      <c r="D95" s="22" t="s">
        <v>1409</v>
      </c>
      <c r="E95" s="22" t="s">
        <v>513</v>
      </c>
    </row>
    <row r="96" spans="1:5" x14ac:dyDescent="0.25">
      <c r="A96" s="22" t="s">
        <v>1410</v>
      </c>
      <c r="B96" s="22" t="s">
        <v>333</v>
      </c>
      <c r="C96" s="22" t="s">
        <v>1411</v>
      </c>
      <c r="D96" s="22" t="s">
        <v>1412</v>
      </c>
      <c r="E96" s="22" t="s">
        <v>513</v>
      </c>
    </row>
    <row r="97" spans="1:5" ht="31.5" x14ac:dyDescent="0.25">
      <c r="A97" s="22" t="s">
        <v>1413</v>
      </c>
      <c r="B97" s="22" t="s">
        <v>327</v>
      </c>
      <c r="C97" s="22" t="s">
        <v>1414</v>
      </c>
      <c r="D97" s="22" t="s">
        <v>1415</v>
      </c>
      <c r="E97" s="22" t="s">
        <v>513</v>
      </c>
    </row>
    <row r="98" spans="1:5" ht="31.5" x14ac:dyDescent="0.25">
      <c r="A98" s="22" t="s">
        <v>1416</v>
      </c>
      <c r="B98" s="22" t="s">
        <v>1417</v>
      </c>
      <c r="C98" s="22" t="s">
        <v>1418</v>
      </c>
      <c r="D98" s="22" t="s">
        <v>1419</v>
      </c>
      <c r="E98" s="22" t="s">
        <v>513</v>
      </c>
    </row>
    <row r="99" spans="1:5" ht="47.25" x14ac:dyDescent="0.25">
      <c r="A99" s="22" t="s">
        <v>1420</v>
      </c>
      <c r="B99" s="22" t="s">
        <v>15</v>
      </c>
      <c r="C99" s="22" t="s">
        <v>1421</v>
      </c>
      <c r="D99" s="22" t="s">
        <v>1422</v>
      </c>
      <c r="E99" s="22" t="s">
        <v>513</v>
      </c>
    </row>
    <row r="100" spans="1:5" ht="31.5" x14ac:dyDescent="0.25">
      <c r="A100" s="22" t="s">
        <v>1423</v>
      </c>
      <c r="B100" s="22" t="s">
        <v>1424</v>
      </c>
      <c r="C100" s="22" t="s">
        <v>1425</v>
      </c>
      <c r="D100" s="22" t="s">
        <v>1426</v>
      </c>
      <c r="E100" s="22" t="s">
        <v>513</v>
      </c>
    </row>
    <row r="101" spans="1:5" ht="31.5" x14ac:dyDescent="0.25">
      <c r="A101" s="22" t="s">
        <v>1427</v>
      </c>
      <c r="B101" s="22" t="s">
        <v>1170</v>
      </c>
      <c r="C101" s="22" t="s">
        <v>1428</v>
      </c>
      <c r="D101" s="22" t="s">
        <v>1429</v>
      </c>
      <c r="E101" s="22" t="s">
        <v>513</v>
      </c>
    </row>
    <row r="102" spans="1:5" ht="47.25" x14ac:dyDescent="0.25">
      <c r="A102" s="22" t="s">
        <v>1430</v>
      </c>
      <c r="B102" s="22" t="s">
        <v>1174</v>
      </c>
      <c r="C102" s="22" t="s">
        <v>1431</v>
      </c>
      <c r="D102" s="22" t="s">
        <v>1432</v>
      </c>
      <c r="E102" s="22" t="s">
        <v>513</v>
      </c>
    </row>
    <row r="103" spans="1:5" ht="31.5" x14ac:dyDescent="0.25">
      <c r="A103" s="22" t="s">
        <v>1433</v>
      </c>
      <c r="B103" s="22" t="s">
        <v>1207</v>
      </c>
      <c r="C103" s="22" t="s">
        <v>1434</v>
      </c>
      <c r="D103" s="22" t="s">
        <v>1128</v>
      </c>
      <c r="E103" s="22" t="s">
        <v>513</v>
      </c>
    </row>
    <row r="104" spans="1:5" ht="47.25" x14ac:dyDescent="0.25">
      <c r="A104" s="22" t="s">
        <v>1435</v>
      </c>
      <c r="B104" s="22" t="s">
        <v>1436</v>
      </c>
      <c r="C104" s="22" t="s">
        <v>1437</v>
      </c>
      <c r="D104" s="22" t="s">
        <v>1438</v>
      </c>
      <c r="E104" s="22" t="s">
        <v>972</v>
      </c>
    </row>
    <row r="105" spans="1:5" ht="31.5" x14ac:dyDescent="0.25">
      <c r="A105" s="22" t="s">
        <v>1439</v>
      </c>
      <c r="B105" s="22" t="s">
        <v>1440</v>
      </c>
      <c r="C105" s="22" t="s">
        <v>1441</v>
      </c>
      <c r="D105" s="22" t="s">
        <v>1442</v>
      </c>
      <c r="E105" s="22" t="s">
        <v>513</v>
      </c>
    </row>
    <row r="106" spans="1:5" ht="31.5" x14ac:dyDescent="0.25">
      <c r="A106" s="22" t="s">
        <v>1443</v>
      </c>
      <c r="B106" s="22" t="s">
        <v>1444</v>
      </c>
      <c r="C106" s="22" t="s">
        <v>1445</v>
      </c>
      <c r="D106" s="22" t="s">
        <v>1446</v>
      </c>
      <c r="E106" s="22" t="s">
        <v>513</v>
      </c>
    </row>
    <row r="107" spans="1:5" ht="47.25" x14ac:dyDescent="0.25">
      <c r="A107" s="22" t="s">
        <v>1447</v>
      </c>
      <c r="B107" s="22" t="s">
        <v>1448</v>
      </c>
      <c r="C107" s="22" t="s">
        <v>1449</v>
      </c>
      <c r="D107" s="22" t="s">
        <v>1450</v>
      </c>
      <c r="E107" s="22" t="s">
        <v>513</v>
      </c>
    </row>
    <row r="108" spans="1:5" ht="31.5" x14ac:dyDescent="0.25">
      <c r="A108" s="22" t="s">
        <v>1451</v>
      </c>
      <c r="B108" s="22" t="s">
        <v>1452</v>
      </c>
      <c r="C108" s="22" t="s">
        <v>1453</v>
      </c>
      <c r="D108" s="22" t="s">
        <v>1454</v>
      </c>
      <c r="E108" s="22" t="s">
        <v>513</v>
      </c>
    </row>
    <row r="109" spans="1:5" ht="31.5" x14ac:dyDescent="0.25">
      <c r="A109" s="22" t="s">
        <v>1455</v>
      </c>
      <c r="B109" s="22" t="s">
        <v>1456</v>
      </c>
      <c r="C109" s="22" t="s">
        <v>1457</v>
      </c>
      <c r="D109" s="22" t="s">
        <v>1454</v>
      </c>
      <c r="E109" s="22" t="s">
        <v>513</v>
      </c>
    </row>
    <row r="110" spans="1:5" ht="31.5" x14ac:dyDescent="0.25">
      <c r="A110" s="22" t="s">
        <v>1458</v>
      </c>
      <c r="B110" s="22" t="s">
        <v>1188</v>
      </c>
      <c r="C110" s="22" t="s">
        <v>1459</v>
      </c>
      <c r="D110" s="22" t="s">
        <v>1460</v>
      </c>
      <c r="E110" s="22" t="s">
        <v>513</v>
      </c>
    </row>
    <row r="111" spans="1:5" ht="31.5" x14ac:dyDescent="0.25">
      <c r="A111" s="22" t="s">
        <v>1461</v>
      </c>
      <c r="B111" s="22" t="s">
        <v>1462</v>
      </c>
      <c r="C111" s="22" t="s">
        <v>1463</v>
      </c>
      <c r="D111" s="22" t="s">
        <v>1464</v>
      </c>
      <c r="E111" s="22" t="s">
        <v>513</v>
      </c>
    </row>
    <row r="112" spans="1:5" ht="31.5" x14ac:dyDescent="0.25">
      <c r="A112" s="22" t="s">
        <v>1465</v>
      </c>
      <c r="B112" s="22" t="s">
        <v>1466</v>
      </c>
      <c r="C112" s="22" t="s">
        <v>1467</v>
      </c>
      <c r="D112" s="22" t="s">
        <v>1468</v>
      </c>
      <c r="E112" s="22" t="s">
        <v>513</v>
      </c>
    </row>
    <row r="113" spans="1:5" ht="31.5" x14ac:dyDescent="0.25">
      <c r="A113" s="22" t="s">
        <v>1469</v>
      </c>
      <c r="B113" s="22" t="s">
        <v>1204</v>
      </c>
      <c r="C113" s="22" t="s">
        <v>1470</v>
      </c>
      <c r="D113" s="22" t="s">
        <v>1471</v>
      </c>
      <c r="E113" s="22" t="s">
        <v>972</v>
      </c>
    </row>
    <row r="114" spans="1:5" ht="31.5" x14ac:dyDescent="0.25">
      <c r="A114" s="22" t="s">
        <v>1472</v>
      </c>
      <c r="B114" s="22" t="s">
        <v>1473</v>
      </c>
      <c r="C114" s="22" t="s">
        <v>1474</v>
      </c>
      <c r="D114" s="22" t="s">
        <v>1475</v>
      </c>
      <c r="E114" s="22" t="s">
        <v>513</v>
      </c>
    </row>
    <row r="115" spans="1:5" ht="31.5" x14ac:dyDescent="0.25">
      <c r="A115" s="22" t="s">
        <v>1479</v>
      </c>
      <c r="B115" s="22" t="s">
        <v>1480</v>
      </c>
      <c r="C115" s="22" t="s">
        <v>1481</v>
      </c>
      <c r="D115" s="22" t="s">
        <v>938</v>
      </c>
      <c r="E115" s="22" t="s">
        <v>513</v>
      </c>
    </row>
    <row r="116" spans="1:5" ht="47.25" x14ac:dyDescent="0.25">
      <c r="A116" s="22" t="s">
        <v>1482</v>
      </c>
      <c r="B116" s="22" t="s">
        <v>1483</v>
      </c>
      <c r="C116" s="22" t="s">
        <v>1484</v>
      </c>
      <c r="D116" s="22" t="s">
        <v>1485</v>
      </c>
      <c r="E116" s="22" t="s">
        <v>513</v>
      </c>
    </row>
    <row r="117" spans="1:5" ht="31.5" x14ac:dyDescent="0.25">
      <c r="A117" s="22" t="s">
        <v>1486</v>
      </c>
      <c r="B117" s="22" t="s">
        <v>1487</v>
      </c>
      <c r="C117" s="22" t="s">
        <v>1488</v>
      </c>
      <c r="D117" s="22" t="s">
        <v>1489</v>
      </c>
      <c r="E117" s="22" t="s">
        <v>513</v>
      </c>
    </row>
    <row r="118" spans="1:5" ht="47.25" x14ac:dyDescent="0.25">
      <c r="A118" s="22" t="s">
        <v>1490</v>
      </c>
      <c r="B118" s="22" t="s">
        <v>1491</v>
      </c>
      <c r="C118" s="22" t="s">
        <v>1492</v>
      </c>
      <c r="D118" s="22" t="s">
        <v>1493</v>
      </c>
      <c r="E118" s="22" t="s">
        <v>513</v>
      </c>
    </row>
    <row r="119" spans="1:5" ht="31.5" x14ac:dyDescent="0.25">
      <c r="A119" s="22" t="s">
        <v>1494</v>
      </c>
      <c r="B119" s="22" t="s">
        <v>450</v>
      </c>
      <c r="C119" s="22" t="s">
        <v>1495</v>
      </c>
      <c r="D119" s="22" t="s">
        <v>1496</v>
      </c>
      <c r="E119" s="22" t="s">
        <v>513</v>
      </c>
    </row>
    <row r="120" spans="1:5" ht="47.25" x14ac:dyDescent="0.25">
      <c r="A120" s="22" t="s">
        <v>1497</v>
      </c>
      <c r="B120" s="22" t="s">
        <v>1498</v>
      </c>
      <c r="C120" s="22" t="s">
        <v>1499</v>
      </c>
      <c r="D120" s="22" t="s">
        <v>1500</v>
      </c>
      <c r="E120" s="22" t="s">
        <v>513</v>
      </c>
    </row>
    <row r="121" spans="1:5" ht="31.5" x14ac:dyDescent="0.25">
      <c r="A121" s="22" t="s">
        <v>1501</v>
      </c>
      <c r="B121" s="22" t="s">
        <v>1502</v>
      </c>
      <c r="C121" s="22" t="s">
        <v>1503</v>
      </c>
      <c r="D121" s="22" t="s">
        <v>1504</v>
      </c>
      <c r="E121" s="22" t="s">
        <v>513</v>
      </c>
    </row>
    <row r="122" spans="1:5" ht="31.5" x14ac:dyDescent="0.25">
      <c r="A122" s="22" t="s">
        <v>1505</v>
      </c>
      <c r="B122" s="22" t="s">
        <v>1506</v>
      </c>
      <c r="C122" s="22" t="s">
        <v>1507</v>
      </c>
      <c r="D122" s="22" t="s">
        <v>1508</v>
      </c>
      <c r="E122" s="22" t="s">
        <v>513</v>
      </c>
    </row>
    <row r="123" spans="1:5" ht="31.5" x14ac:dyDescent="0.25">
      <c r="A123" s="22" t="s">
        <v>1509</v>
      </c>
      <c r="B123" s="22" t="s">
        <v>1174</v>
      </c>
      <c r="C123" s="22" t="s">
        <v>1510</v>
      </c>
      <c r="D123" s="22" t="s">
        <v>1511</v>
      </c>
      <c r="E123" s="22" t="s">
        <v>513</v>
      </c>
    </row>
    <row r="124" spans="1:5" ht="47.25" x14ac:dyDescent="0.25">
      <c r="A124" s="22" t="s">
        <v>1512</v>
      </c>
      <c r="B124" s="22" t="s">
        <v>1513</v>
      </c>
      <c r="C124" s="22" t="s">
        <v>1514</v>
      </c>
      <c r="D124" s="22" t="s">
        <v>1515</v>
      </c>
      <c r="E124" s="22" t="s">
        <v>513</v>
      </c>
    </row>
    <row r="125" spans="1:5" ht="31.5" x14ac:dyDescent="0.25">
      <c r="A125" s="22" t="s">
        <v>1516</v>
      </c>
      <c r="B125" s="22" t="s">
        <v>507</v>
      </c>
      <c r="C125" s="22" t="s">
        <v>1517</v>
      </c>
      <c r="D125" s="22" t="s">
        <v>1454</v>
      </c>
      <c r="E125" s="22" t="s">
        <v>513</v>
      </c>
    </row>
    <row r="126" spans="1:5" ht="31.5" x14ac:dyDescent="0.25">
      <c r="A126" s="22" t="s">
        <v>1518</v>
      </c>
      <c r="B126" s="22" t="s">
        <v>476</v>
      </c>
      <c r="C126" s="22" t="s">
        <v>1519</v>
      </c>
      <c r="D126" s="22" t="s">
        <v>1454</v>
      </c>
      <c r="E126" s="22" t="s">
        <v>513</v>
      </c>
    </row>
    <row r="127" spans="1:5" ht="31.5" x14ac:dyDescent="0.25">
      <c r="A127" s="22" t="s">
        <v>1520</v>
      </c>
      <c r="B127" s="22" t="s">
        <v>1037</v>
      </c>
      <c r="C127" s="22" t="s">
        <v>1521</v>
      </c>
      <c r="D127" s="22" t="s">
        <v>1522</v>
      </c>
      <c r="E127" s="22" t="s">
        <v>513</v>
      </c>
    </row>
    <row r="128" spans="1:5" ht="63" x14ac:dyDescent="0.25">
      <c r="A128" s="22" t="s">
        <v>1523</v>
      </c>
      <c r="B128" s="22" t="s">
        <v>1524</v>
      </c>
      <c r="C128" s="22" t="s">
        <v>1525</v>
      </c>
      <c r="D128" s="22" t="s">
        <v>1526</v>
      </c>
      <c r="E128" s="22" t="s">
        <v>513</v>
      </c>
    </row>
    <row r="129" spans="1:5" ht="47.25" x14ac:dyDescent="0.25">
      <c r="A129" s="22" t="s">
        <v>1527</v>
      </c>
      <c r="B129" s="22" t="s">
        <v>15</v>
      </c>
      <c r="C129" s="22" t="s">
        <v>1528</v>
      </c>
      <c r="D129" s="22" t="s">
        <v>1422</v>
      </c>
      <c r="E129" s="22" t="s">
        <v>513</v>
      </c>
    </row>
    <row r="130" spans="1:5" ht="31.5" x14ac:dyDescent="0.25">
      <c r="A130" s="22" t="s">
        <v>1529</v>
      </c>
      <c r="B130" s="22" t="s">
        <v>1530</v>
      </c>
      <c r="C130" s="22" t="s">
        <v>1531</v>
      </c>
      <c r="D130" s="22" t="s">
        <v>1532</v>
      </c>
      <c r="E130" s="22" t="s">
        <v>513</v>
      </c>
    </row>
    <row r="131" spans="1:5" ht="31.5" x14ac:dyDescent="0.25">
      <c r="A131" s="22" t="s">
        <v>1533</v>
      </c>
      <c r="B131" s="22" t="s">
        <v>1141</v>
      </c>
      <c r="C131" s="22" t="s">
        <v>1534</v>
      </c>
      <c r="D131" s="22" t="s">
        <v>1141</v>
      </c>
      <c r="E131" s="22" t="s">
        <v>513</v>
      </c>
    </row>
    <row r="132" spans="1:5" ht="47.25" x14ac:dyDescent="0.25">
      <c r="A132" s="22" t="s">
        <v>1535</v>
      </c>
      <c r="B132" s="22" t="s">
        <v>1536</v>
      </c>
      <c r="C132" s="22" t="s">
        <v>1537</v>
      </c>
      <c r="D132" s="22" t="s">
        <v>1538</v>
      </c>
      <c r="E132" s="22" t="s">
        <v>513</v>
      </c>
    </row>
    <row r="133" spans="1:5" ht="48.75" x14ac:dyDescent="0.25">
      <c r="A133" s="22" t="s">
        <v>1539</v>
      </c>
      <c r="B133" s="22" t="s">
        <v>1540</v>
      </c>
      <c r="C133" s="57" t="s">
        <v>1541</v>
      </c>
      <c r="D133" s="22" t="s">
        <v>938</v>
      </c>
      <c r="E133" s="22" t="s">
        <v>513</v>
      </c>
    </row>
    <row r="134" spans="1:5" ht="31.5" x14ac:dyDescent="0.25">
      <c r="A134" s="22" t="s">
        <v>1542</v>
      </c>
      <c r="B134" s="22" t="s">
        <v>1543</v>
      </c>
      <c r="C134" s="22" t="s">
        <v>1544</v>
      </c>
      <c r="D134" s="22" t="s">
        <v>1545</v>
      </c>
      <c r="E134" s="22" t="s">
        <v>513</v>
      </c>
    </row>
    <row r="135" spans="1:5" ht="31.5" x14ac:dyDescent="0.25">
      <c r="A135" s="22" t="s">
        <v>1546</v>
      </c>
      <c r="B135" s="22" t="s">
        <v>1547</v>
      </c>
      <c r="C135" s="22" t="s">
        <v>1548</v>
      </c>
      <c r="D135" s="22" t="s">
        <v>1549</v>
      </c>
      <c r="E135" s="22" t="s">
        <v>513</v>
      </c>
    </row>
    <row r="136" spans="1:5" ht="31.5" x14ac:dyDescent="0.25">
      <c r="A136" s="22" t="s">
        <v>1550</v>
      </c>
      <c r="B136" s="22" t="s">
        <v>1551</v>
      </c>
      <c r="C136" s="22" t="s">
        <v>1552</v>
      </c>
      <c r="D136" s="22" t="s">
        <v>803</v>
      </c>
      <c r="E136" s="22" t="s">
        <v>513</v>
      </c>
    </row>
    <row r="137" spans="1:5" ht="48" x14ac:dyDescent="0.25">
      <c r="A137" s="22" t="s">
        <v>1553</v>
      </c>
      <c r="B137" s="22" t="s">
        <v>1554</v>
      </c>
      <c r="C137" s="57" t="s">
        <v>1555</v>
      </c>
      <c r="D137" s="22" t="s">
        <v>1556</v>
      </c>
      <c r="E137" s="22" t="s">
        <v>513</v>
      </c>
    </row>
    <row r="138" spans="1:5" ht="31.5" x14ac:dyDescent="0.25">
      <c r="A138" s="22" t="s">
        <v>1557</v>
      </c>
      <c r="B138" s="22" t="s">
        <v>1558</v>
      </c>
      <c r="C138" s="22" t="s">
        <v>1559</v>
      </c>
      <c r="D138" s="22" t="s">
        <v>991</v>
      </c>
      <c r="E138" s="22" t="s">
        <v>513</v>
      </c>
    </row>
    <row r="139" spans="1:5" ht="31.5" x14ac:dyDescent="0.25">
      <c r="A139" s="22" t="s">
        <v>1560</v>
      </c>
      <c r="B139" s="22" t="s">
        <v>1561</v>
      </c>
      <c r="C139" s="22" t="s">
        <v>1562</v>
      </c>
      <c r="D139" s="22" t="s">
        <v>334</v>
      </c>
      <c r="E139" s="22" t="s">
        <v>513</v>
      </c>
    </row>
    <row r="140" spans="1:5" ht="33" x14ac:dyDescent="0.25">
      <c r="A140" s="22" t="s">
        <v>1563</v>
      </c>
      <c r="B140" s="22" t="s">
        <v>1564</v>
      </c>
      <c r="C140" s="22" t="s">
        <v>1565</v>
      </c>
      <c r="D140" s="22" t="s">
        <v>1566</v>
      </c>
      <c r="E140" s="22" t="s">
        <v>513</v>
      </c>
    </row>
    <row r="141" spans="1:5" ht="31.5" x14ac:dyDescent="0.25">
      <c r="A141" s="22" t="s">
        <v>1567</v>
      </c>
      <c r="B141" s="22" t="s">
        <v>1568</v>
      </c>
      <c r="C141" s="22" t="s">
        <v>1569</v>
      </c>
      <c r="D141" s="22" t="s">
        <v>808</v>
      </c>
      <c r="E141" s="22" t="s">
        <v>513</v>
      </c>
    </row>
    <row r="142" spans="1:5" ht="32.25" x14ac:dyDescent="0.25">
      <c r="A142" s="22" t="s">
        <v>1570</v>
      </c>
      <c r="B142" s="22" t="s">
        <v>1571</v>
      </c>
      <c r="C142" s="57" t="s">
        <v>1572</v>
      </c>
      <c r="D142" s="22" t="s">
        <v>1573</v>
      </c>
      <c r="E142" s="22" t="s">
        <v>513</v>
      </c>
    </row>
    <row r="143" spans="1:5" ht="31.5" x14ac:dyDescent="0.25">
      <c r="A143" s="22" t="s">
        <v>1574</v>
      </c>
      <c r="B143" s="22" t="s">
        <v>1575</v>
      </c>
      <c r="C143" s="22" t="s">
        <v>1576</v>
      </c>
      <c r="D143" s="22" t="s">
        <v>1577</v>
      </c>
      <c r="E143" s="22" t="s">
        <v>513</v>
      </c>
    </row>
    <row r="144" spans="1:5" ht="31.5" x14ac:dyDescent="0.25">
      <c r="A144" s="22" t="s">
        <v>1578</v>
      </c>
      <c r="B144" s="22" t="s">
        <v>1579</v>
      </c>
      <c r="C144" s="22" t="s">
        <v>1580</v>
      </c>
      <c r="D144" s="22" t="s">
        <v>1581</v>
      </c>
      <c r="E144" s="22" t="s">
        <v>513</v>
      </c>
    </row>
    <row r="145" spans="1:5" ht="31.5" x14ac:dyDescent="0.25">
      <c r="A145" s="22" t="s">
        <v>1582</v>
      </c>
      <c r="B145" s="22" t="s">
        <v>1583</v>
      </c>
      <c r="C145" s="22" t="s">
        <v>1584</v>
      </c>
      <c r="D145" s="22" t="s">
        <v>1585</v>
      </c>
      <c r="E145" s="22" t="s">
        <v>513</v>
      </c>
    </row>
    <row r="146" spans="1:5" ht="31.5" x14ac:dyDescent="0.25">
      <c r="A146" s="22" t="s">
        <v>1586</v>
      </c>
      <c r="B146" s="22" t="s">
        <v>1587</v>
      </c>
      <c r="C146" s="22" t="s">
        <v>1588</v>
      </c>
      <c r="D146" s="22" t="s">
        <v>1589</v>
      </c>
      <c r="E146" s="22" t="s">
        <v>513</v>
      </c>
    </row>
    <row r="147" spans="1:5" ht="31.5" x14ac:dyDescent="0.25">
      <c r="A147" s="22" t="s">
        <v>1590</v>
      </c>
      <c r="B147" s="22" t="s">
        <v>1591</v>
      </c>
      <c r="C147" s="22" t="s">
        <v>1592</v>
      </c>
      <c r="D147" s="22" t="s">
        <v>1500</v>
      </c>
      <c r="E147" s="22" t="s">
        <v>513</v>
      </c>
    </row>
    <row r="148" spans="1:5" ht="47.25" x14ac:dyDescent="0.25">
      <c r="A148" s="22" t="s">
        <v>1593</v>
      </c>
      <c r="B148" s="22" t="s">
        <v>1594</v>
      </c>
      <c r="C148" s="22" t="s">
        <v>1595</v>
      </c>
      <c r="D148" s="22" t="s">
        <v>1596</v>
      </c>
      <c r="E148" s="22" t="s">
        <v>513</v>
      </c>
    </row>
    <row r="149" spans="1:5" ht="31.5" x14ac:dyDescent="0.25">
      <c r="A149" s="22" t="s">
        <v>1597</v>
      </c>
      <c r="B149" s="22" t="s">
        <v>1598</v>
      </c>
      <c r="C149" s="22" t="s">
        <v>1599</v>
      </c>
      <c r="D149" s="22" t="s">
        <v>1426</v>
      </c>
      <c r="E149" s="22" t="s">
        <v>513</v>
      </c>
    </row>
    <row r="150" spans="1:5" ht="31.5" x14ac:dyDescent="0.25">
      <c r="A150" s="22" t="s">
        <v>1600</v>
      </c>
      <c r="B150" s="22" t="s">
        <v>847</v>
      </c>
      <c r="C150" s="22" t="s">
        <v>1601</v>
      </c>
      <c r="D150" s="22" t="s">
        <v>1426</v>
      </c>
      <c r="E150" s="22" t="s">
        <v>513</v>
      </c>
    </row>
    <row r="151" spans="1:5" ht="47.25" x14ac:dyDescent="0.25">
      <c r="A151" s="22" t="s">
        <v>1602</v>
      </c>
      <c r="B151" s="22" t="s">
        <v>1603</v>
      </c>
      <c r="C151" s="22" t="s">
        <v>1604</v>
      </c>
      <c r="D151" s="22" t="s">
        <v>1605</v>
      </c>
      <c r="E151" s="22" t="s">
        <v>513</v>
      </c>
    </row>
    <row r="152" spans="1:5" ht="31.5" x14ac:dyDescent="0.25">
      <c r="A152" s="22" t="s">
        <v>1606</v>
      </c>
      <c r="B152" s="22" t="s">
        <v>1073</v>
      </c>
      <c r="C152" s="22" t="s">
        <v>1607</v>
      </c>
      <c r="D152" s="22" t="s">
        <v>1390</v>
      </c>
      <c r="E152" s="22" t="s">
        <v>513</v>
      </c>
    </row>
    <row r="153" spans="1:5" ht="31.5" x14ac:dyDescent="0.25">
      <c r="A153" s="22" t="s">
        <v>1608</v>
      </c>
      <c r="B153" s="22" t="s">
        <v>1609</v>
      </c>
      <c r="C153" s="22" t="s">
        <v>1610</v>
      </c>
      <c r="D153" s="22" t="s">
        <v>1464</v>
      </c>
      <c r="E153" s="22" t="s">
        <v>513</v>
      </c>
    </row>
    <row r="154" spans="1:5" ht="31.5" x14ac:dyDescent="0.25">
      <c r="A154" s="22" t="s">
        <v>1611</v>
      </c>
      <c r="B154" s="22" t="s">
        <v>1612</v>
      </c>
      <c r="C154" s="22" t="s">
        <v>1613</v>
      </c>
      <c r="D154" s="22" t="s">
        <v>1614</v>
      </c>
      <c r="E154" s="22" t="s">
        <v>972</v>
      </c>
    </row>
    <row r="155" spans="1:5" ht="47.25" x14ac:dyDescent="0.25">
      <c r="A155" s="22" t="s">
        <v>1615</v>
      </c>
      <c r="B155" s="22" t="s">
        <v>1616</v>
      </c>
      <c r="C155" s="22" t="s">
        <v>1617</v>
      </c>
      <c r="D155" s="22" t="s">
        <v>1618</v>
      </c>
      <c r="E155" s="22" t="s">
        <v>513</v>
      </c>
    </row>
    <row r="156" spans="1:5" ht="31.5" x14ac:dyDescent="0.25">
      <c r="A156" s="22" t="s">
        <v>1619</v>
      </c>
      <c r="B156" s="22" t="s">
        <v>1620</v>
      </c>
      <c r="C156" s="22" t="s">
        <v>1621</v>
      </c>
      <c r="D156" s="22" t="s">
        <v>1620</v>
      </c>
      <c r="E156" s="22" t="s">
        <v>513</v>
      </c>
    </row>
    <row r="157" spans="1:5" ht="47.25" x14ac:dyDescent="0.25">
      <c r="A157" s="22" t="s">
        <v>1622</v>
      </c>
      <c r="B157" s="22" t="s">
        <v>1623</v>
      </c>
      <c r="C157" s="22" t="s">
        <v>1624</v>
      </c>
      <c r="D157" s="22" t="s">
        <v>1625</v>
      </c>
      <c r="E157" s="22" t="s">
        <v>513</v>
      </c>
    </row>
    <row r="158" spans="1:5" ht="31.5" x14ac:dyDescent="0.25">
      <c r="A158" s="22" t="s">
        <v>1626</v>
      </c>
      <c r="B158" s="22" t="s">
        <v>1627</v>
      </c>
      <c r="C158" s="22" t="s">
        <v>1628</v>
      </c>
      <c r="D158" s="22" t="s">
        <v>1629</v>
      </c>
      <c r="E158" s="22" t="s">
        <v>513</v>
      </c>
    </row>
    <row r="159" spans="1:5" ht="31.5" x14ac:dyDescent="0.25">
      <c r="A159" s="22" t="s">
        <v>1630</v>
      </c>
      <c r="B159" s="22" t="s">
        <v>1631</v>
      </c>
      <c r="C159" s="22" t="s">
        <v>1632</v>
      </c>
      <c r="D159" s="22" t="s">
        <v>1493</v>
      </c>
      <c r="E159" s="22" t="s">
        <v>513</v>
      </c>
    </row>
    <row r="160" spans="1:5" ht="31.5" x14ac:dyDescent="0.25">
      <c r="A160" s="22" t="s">
        <v>1633</v>
      </c>
      <c r="B160" s="22" t="s">
        <v>1634</v>
      </c>
      <c r="C160" s="22" t="s">
        <v>1635</v>
      </c>
      <c r="D160" s="22" t="s">
        <v>1636</v>
      </c>
      <c r="E160" s="22" t="s">
        <v>513</v>
      </c>
    </row>
    <row r="161" spans="1:5" ht="31.5" x14ac:dyDescent="0.25">
      <c r="A161" s="22" t="s">
        <v>1637</v>
      </c>
      <c r="B161" s="22" t="s">
        <v>1638</v>
      </c>
      <c r="C161" s="22" t="s">
        <v>1639</v>
      </c>
      <c r="D161" s="22" t="s">
        <v>1640</v>
      </c>
      <c r="E161" s="22" t="s">
        <v>513</v>
      </c>
    </row>
    <row r="162" spans="1:5" ht="31.5" x14ac:dyDescent="0.25">
      <c r="A162" s="22" t="s">
        <v>1641</v>
      </c>
      <c r="B162" s="22" t="s">
        <v>1642</v>
      </c>
      <c r="C162" s="22" t="s">
        <v>1643</v>
      </c>
      <c r="D162" s="22" t="s">
        <v>1496</v>
      </c>
      <c r="E162" s="22" t="s">
        <v>513</v>
      </c>
    </row>
    <row r="163" spans="1:5" ht="47.25" x14ac:dyDescent="0.25">
      <c r="A163" s="22" t="s">
        <v>1644</v>
      </c>
      <c r="B163" s="22" t="s">
        <v>1645</v>
      </c>
      <c r="C163" s="22" t="s">
        <v>1646</v>
      </c>
      <c r="D163" s="22" t="s">
        <v>1454</v>
      </c>
      <c r="E163" s="22" t="s">
        <v>513</v>
      </c>
    </row>
    <row r="164" spans="1:5" ht="31.5" x14ac:dyDescent="0.25">
      <c r="A164" s="22" t="s">
        <v>1647</v>
      </c>
      <c r="B164" s="22" t="s">
        <v>1648</v>
      </c>
      <c r="C164" s="22" t="s">
        <v>1649</v>
      </c>
      <c r="D164" s="22" t="s">
        <v>1650</v>
      </c>
      <c r="E164" s="22" t="s">
        <v>513</v>
      </c>
    </row>
    <row r="165" spans="1:5" ht="31.5" x14ac:dyDescent="0.25">
      <c r="A165" s="22" t="s">
        <v>1651</v>
      </c>
      <c r="B165" s="22" t="s">
        <v>1652</v>
      </c>
      <c r="C165" s="22" t="s">
        <v>1653</v>
      </c>
      <c r="D165" s="22" t="s">
        <v>1464</v>
      </c>
      <c r="E165" s="22" t="s">
        <v>513</v>
      </c>
    </row>
    <row r="166" spans="1:5" ht="31.5" x14ac:dyDescent="0.25">
      <c r="A166" s="22" t="s">
        <v>1654</v>
      </c>
      <c r="B166" s="22" t="s">
        <v>1655</v>
      </c>
      <c r="C166" s="22" t="s">
        <v>1656</v>
      </c>
      <c r="D166" s="22" t="s">
        <v>1464</v>
      </c>
      <c r="E166" s="22" t="s">
        <v>513</v>
      </c>
    </row>
    <row r="167" spans="1:5" ht="31.5" x14ac:dyDescent="0.25">
      <c r="A167" s="22" t="s">
        <v>1657</v>
      </c>
      <c r="B167" s="22" t="s">
        <v>1658</v>
      </c>
      <c r="C167" s="22" t="s">
        <v>1659</v>
      </c>
      <c r="D167" s="22" t="s">
        <v>1581</v>
      </c>
      <c r="E167" s="22" t="s">
        <v>972</v>
      </c>
    </row>
    <row r="168" spans="1:5" ht="31.5" x14ac:dyDescent="0.25">
      <c r="A168" s="22" t="s">
        <v>1660</v>
      </c>
      <c r="B168" s="22" t="s">
        <v>1661</v>
      </c>
      <c r="C168" s="22" t="s">
        <v>1662</v>
      </c>
      <c r="D168" s="22" t="s">
        <v>1663</v>
      </c>
      <c r="E168" s="22" t="s">
        <v>972</v>
      </c>
    </row>
    <row r="169" spans="1:5" ht="47.25" x14ac:dyDescent="0.25">
      <c r="A169" s="22" t="s">
        <v>1664</v>
      </c>
      <c r="B169" s="22" t="s">
        <v>1665</v>
      </c>
      <c r="C169" s="22" t="s">
        <v>1666</v>
      </c>
      <c r="D169" s="22" t="s">
        <v>1667</v>
      </c>
      <c r="E169" s="22" t="s">
        <v>513</v>
      </c>
    </row>
    <row r="170" spans="1:5" ht="31.5" x14ac:dyDescent="0.25">
      <c r="A170" s="22" t="s">
        <v>1668</v>
      </c>
      <c r="B170" s="22" t="s">
        <v>1141</v>
      </c>
      <c r="C170" s="22" t="s">
        <v>1669</v>
      </c>
      <c r="D170" s="22" t="s">
        <v>1141</v>
      </c>
      <c r="E170" s="22" t="s">
        <v>513</v>
      </c>
    </row>
    <row r="171" spans="1:5" ht="47.25" x14ac:dyDescent="0.25">
      <c r="A171" s="22" t="s">
        <v>1670</v>
      </c>
      <c r="B171" s="22" t="s">
        <v>1671</v>
      </c>
      <c r="C171" s="22" t="s">
        <v>1672</v>
      </c>
      <c r="D171" s="22" t="s">
        <v>1673</v>
      </c>
      <c r="E171" s="22" t="s">
        <v>513</v>
      </c>
    </row>
    <row r="172" spans="1:5" ht="31.5" x14ac:dyDescent="0.25">
      <c r="A172" s="22" t="s">
        <v>1674</v>
      </c>
      <c r="B172" s="22" t="s">
        <v>1675</v>
      </c>
      <c r="C172" s="22" t="s">
        <v>1676</v>
      </c>
      <c r="D172" s="22" t="s">
        <v>1677</v>
      </c>
      <c r="E172" s="22" t="s">
        <v>513</v>
      </c>
    </row>
    <row r="173" spans="1:5" ht="31.5" x14ac:dyDescent="0.25">
      <c r="A173" s="22" t="s">
        <v>1678</v>
      </c>
      <c r="B173" s="22" t="s">
        <v>1679</v>
      </c>
      <c r="C173" s="22" t="s">
        <v>1680</v>
      </c>
      <c r="D173" s="22" t="s">
        <v>11</v>
      </c>
      <c r="E173" s="22" t="s">
        <v>513</v>
      </c>
    </row>
    <row r="174" spans="1:5" ht="31.5" x14ac:dyDescent="0.25">
      <c r="A174" s="22" t="s">
        <v>1681</v>
      </c>
      <c r="B174" s="22" t="s">
        <v>1682</v>
      </c>
      <c r="C174" s="22" t="s">
        <v>1683</v>
      </c>
      <c r="D174" s="22" t="s">
        <v>1399</v>
      </c>
      <c r="E174" s="22" t="s">
        <v>513</v>
      </c>
    </row>
    <row r="175" spans="1:5" ht="31.5" x14ac:dyDescent="0.25">
      <c r="A175" s="22" t="s">
        <v>1684</v>
      </c>
      <c r="B175" s="22" t="s">
        <v>1685</v>
      </c>
      <c r="C175" s="22" t="s">
        <v>1686</v>
      </c>
      <c r="D175" s="22" t="s">
        <v>1141</v>
      </c>
      <c r="E175" s="22" t="s">
        <v>513</v>
      </c>
    </row>
    <row r="176" spans="1:5" ht="31.5" x14ac:dyDescent="0.25">
      <c r="A176" s="22" t="s">
        <v>1687</v>
      </c>
      <c r="B176" s="22" t="s">
        <v>1688</v>
      </c>
      <c r="C176" s="22" t="s">
        <v>1689</v>
      </c>
      <c r="D176" s="22" t="s">
        <v>1141</v>
      </c>
      <c r="E176" s="22" t="s">
        <v>972</v>
      </c>
    </row>
    <row r="177" spans="1:5" ht="31.5" x14ac:dyDescent="0.25">
      <c r="A177" s="22" t="s">
        <v>1690</v>
      </c>
      <c r="B177" s="22" t="s">
        <v>1462</v>
      </c>
      <c r="C177" s="22" t="s">
        <v>1691</v>
      </c>
      <c r="D177" s="22" t="s">
        <v>1464</v>
      </c>
      <c r="E177" s="22" t="s">
        <v>513</v>
      </c>
    </row>
    <row r="178" spans="1:5" ht="47.25" x14ac:dyDescent="0.25">
      <c r="A178" s="22" t="s">
        <v>1692</v>
      </c>
      <c r="B178" s="22" t="s">
        <v>1693</v>
      </c>
      <c r="C178" s="22" t="s">
        <v>1694</v>
      </c>
      <c r="D178" s="22" t="s">
        <v>1695</v>
      </c>
      <c r="E178" s="22" t="s">
        <v>513</v>
      </c>
    </row>
    <row r="179" spans="1:5" ht="48" x14ac:dyDescent="0.25">
      <c r="A179" s="22" t="s">
        <v>1696</v>
      </c>
      <c r="B179" s="22" t="s">
        <v>1697</v>
      </c>
      <c r="C179" s="22" t="s">
        <v>1698</v>
      </c>
      <c r="D179" s="22" t="s">
        <v>1699</v>
      </c>
      <c r="E179" s="22" t="s">
        <v>513</v>
      </c>
    </row>
    <row r="180" spans="1:5" ht="48" x14ac:dyDescent="0.25">
      <c r="A180" s="22" t="s">
        <v>1700</v>
      </c>
      <c r="B180" s="22" t="s">
        <v>1701</v>
      </c>
      <c r="C180" s="57" t="s">
        <v>1702</v>
      </c>
      <c r="D180" s="22" t="s">
        <v>1703</v>
      </c>
      <c r="E180" s="22" t="s">
        <v>513</v>
      </c>
    </row>
    <row r="181" spans="1:5" ht="31.5" x14ac:dyDescent="0.25">
      <c r="A181" s="22" t="s">
        <v>1704</v>
      </c>
      <c r="B181" s="22" t="s">
        <v>1147</v>
      </c>
      <c r="C181" s="22" t="s">
        <v>1705</v>
      </c>
      <c r="D181" s="22" t="s">
        <v>1706</v>
      </c>
      <c r="E181" s="22" t="s">
        <v>513</v>
      </c>
    </row>
    <row r="182" spans="1:5" ht="47.25" x14ac:dyDescent="0.25">
      <c r="A182" s="22" t="s">
        <v>1743</v>
      </c>
      <c r="B182" s="22" t="s">
        <v>1744</v>
      </c>
      <c r="C182" s="22" t="s">
        <v>1745</v>
      </c>
      <c r="D182" s="22" t="s">
        <v>1746</v>
      </c>
      <c r="E182" s="22" t="s">
        <v>513</v>
      </c>
    </row>
    <row r="183" spans="1:5" ht="31.5" x14ac:dyDescent="0.25">
      <c r="A183" s="22" t="s">
        <v>1747</v>
      </c>
      <c r="B183" s="22" t="s">
        <v>11</v>
      </c>
      <c r="C183" s="22" t="s">
        <v>1748</v>
      </c>
      <c r="D183" s="22" t="s">
        <v>1749</v>
      </c>
      <c r="E183" s="22" t="s">
        <v>513</v>
      </c>
    </row>
    <row r="184" spans="1:5" ht="31.5" x14ac:dyDescent="0.25">
      <c r="A184" s="22" t="s">
        <v>1750</v>
      </c>
      <c r="B184" s="22" t="s">
        <v>1751</v>
      </c>
      <c r="C184" s="22" t="s">
        <v>1752</v>
      </c>
      <c r="D184" s="22" t="s">
        <v>1749</v>
      </c>
      <c r="E184" s="22" t="s">
        <v>513</v>
      </c>
    </row>
    <row r="185" spans="1:5" ht="47.25" x14ac:dyDescent="0.25">
      <c r="A185" s="22" t="s">
        <v>1753</v>
      </c>
      <c r="B185" s="22" t="s">
        <v>1754</v>
      </c>
      <c r="C185" s="22" t="s">
        <v>1755</v>
      </c>
      <c r="D185" s="22" t="s">
        <v>1756</v>
      </c>
      <c r="E185" s="22" t="s">
        <v>972</v>
      </c>
    </row>
    <row r="186" spans="1:5" ht="47.25" x14ac:dyDescent="0.25">
      <c r="A186" s="22" t="s">
        <v>1757</v>
      </c>
      <c r="B186" s="22" t="s">
        <v>1758</v>
      </c>
      <c r="C186" s="22" t="s">
        <v>1759</v>
      </c>
      <c r="D186" s="22" t="s">
        <v>1760</v>
      </c>
      <c r="E186" s="22" t="s">
        <v>513</v>
      </c>
    </row>
    <row r="187" spans="1:5" ht="47.25" x14ac:dyDescent="0.25">
      <c r="A187" s="22" t="s">
        <v>1761</v>
      </c>
      <c r="B187" s="22" t="s">
        <v>1762</v>
      </c>
      <c r="C187" s="22" t="s">
        <v>1763</v>
      </c>
      <c r="D187" s="22" t="s">
        <v>1764</v>
      </c>
      <c r="E187" s="22" t="s">
        <v>513</v>
      </c>
    </row>
    <row r="188" spans="1:5" ht="31.5" x14ac:dyDescent="0.25">
      <c r="A188" s="22" t="s">
        <v>1765</v>
      </c>
      <c r="B188" s="22" t="s">
        <v>1766</v>
      </c>
      <c r="C188" s="22" t="s">
        <v>1767</v>
      </c>
      <c r="D188" s="22" t="s">
        <v>1764</v>
      </c>
      <c r="E188" s="22" t="s">
        <v>513</v>
      </c>
    </row>
    <row r="189" spans="1:5" ht="47.25" x14ac:dyDescent="0.25">
      <c r="A189" s="22" t="s">
        <v>1768</v>
      </c>
      <c r="B189" s="22" t="s">
        <v>1128</v>
      </c>
      <c r="C189" s="22" t="s">
        <v>1769</v>
      </c>
      <c r="D189" s="22" t="s">
        <v>1128</v>
      </c>
      <c r="E189" s="22" t="s">
        <v>513</v>
      </c>
    </row>
    <row r="190" spans="1:5" ht="31.5" x14ac:dyDescent="0.25">
      <c r="A190" s="22" t="s">
        <v>1770</v>
      </c>
      <c r="B190" s="22" t="s">
        <v>1771</v>
      </c>
      <c r="C190" s="22" t="s">
        <v>1772</v>
      </c>
      <c r="D190" s="22" t="s">
        <v>1773</v>
      </c>
      <c r="E190" s="22" t="s">
        <v>513</v>
      </c>
    </row>
    <row r="191" spans="1:5" ht="32.25" x14ac:dyDescent="0.25">
      <c r="A191" s="22" t="s">
        <v>1774</v>
      </c>
      <c r="B191" s="22" t="s">
        <v>947</v>
      </c>
      <c r="C191" s="22" t="s">
        <v>1775</v>
      </c>
      <c r="D191" s="22" t="s">
        <v>1776</v>
      </c>
      <c r="E191" s="22" t="s">
        <v>513</v>
      </c>
    </row>
    <row r="192" spans="1:5" ht="32.25" x14ac:dyDescent="0.25">
      <c r="A192" s="22" t="s">
        <v>1777</v>
      </c>
      <c r="B192" s="22" t="s">
        <v>1778</v>
      </c>
      <c r="C192" s="22" t="s">
        <v>1779</v>
      </c>
      <c r="D192" s="22" t="s">
        <v>1780</v>
      </c>
      <c r="E192" s="22" t="s">
        <v>513</v>
      </c>
    </row>
    <row r="193" spans="1:5" ht="32.25" x14ac:dyDescent="0.25">
      <c r="A193" s="22" t="s">
        <v>1781</v>
      </c>
      <c r="B193" s="22" t="s">
        <v>1782</v>
      </c>
      <c r="C193" s="22" t="s">
        <v>1783</v>
      </c>
      <c r="D193" s="22" t="s">
        <v>1784</v>
      </c>
      <c r="E193" s="22" t="s">
        <v>513</v>
      </c>
    </row>
    <row r="194" spans="1:5" ht="47.25" x14ac:dyDescent="0.25">
      <c r="A194" s="22" t="s">
        <v>1785</v>
      </c>
      <c r="B194" s="22" t="s">
        <v>1786</v>
      </c>
      <c r="C194" s="22" t="s">
        <v>1787</v>
      </c>
      <c r="D194" s="22" t="s">
        <v>1788</v>
      </c>
      <c r="E194" s="22" t="s">
        <v>972</v>
      </c>
    </row>
    <row r="195" spans="1:5" ht="47.25" x14ac:dyDescent="0.25">
      <c r="A195" s="22" t="s">
        <v>1789</v>
      </c>
      <c r="B195" s="22" t="s">
        <v>1790</v>
      </c>
      <c r="C195" s="22" t="s">
        <v>1791</v>
      </c>
      <c r="D195" s="22" t="s">
        <v>1792</v>
      </c>
      <c r="E195" s="22" t="s">
        <v>513</v>
      </c>
    </row>
    <row r="196" spans="1:5" ht="47.25" x14ac:dyDescent="0.25">
      <c r="A196" s="22" t="s">
        <v>1793</v>
      </c>
      <c r="B196" s="22" t="s">
        <v>1794</v>
      </c>
      <c r="C196" s="22" t="s">
        <v>1795</v>
      </c>
      <c r="D196" s="22" t="s">
        <v>1796</v>
      </c>
      <c r="E196" s="22" t="s">
        <v>513</v>
      </c>
    </row>
    <row r="197" spans="1:5" ht="31.5" x14ac:dyDescent="0.25">
      <c r="A197" s="22" t="s">
        <v>1797</v>
      </c>
      <c r="B197" s="22" t="s">
        <v>1798</v>
      </c>
      <c r="C197" s="22" t="s">
        <v>1799</v>
      </c>
      <c r="D197" s="22" t="s">
        <v>1800</v>
      </c>
      <c r="E197" s="22" t="s">
        <v>513</v>
      </c>
    </row>
    <row r="198" spans="1:5" ht="31.5" x14ac:dyDescent="0.25">
      <c r="A198" s="22" t="s">
        <v>1801</v>
      </c>
      <c r="B198" s="22" t="s">
        <v>1802</v>
      </c>
      <c r="C198" s="22" t="s">
        <v>1803</v>
      </c>
      <c r="D198" s="22" t="s">
        <v>1804</v>
      </c>
      <c r="E198" s="22" t="s">
        <v>513</v>
      </c>
    </row>
    <row r="199" spans="1:5" ht="47.25" x14ac:dyDescent="0.25">
      <c r="A199" s="22" t="s">
        <v>1805</v>
      </c>
      <c r="B199" s="22" t="s">
        <v>1806</v>
      </c>
      <c r="C199" s="22" t="s">
        <v>1807</v>
      </c>
      <c r="D199" s="22" t="s">
        <v>1808</v>
      </c>
      <c r="E199" s="22" t="s">
        <v>513</v>
      </c>
    </row>
    <row r="200" spans="1:5" ht="31.5" x14ac:dyDescent="0.25">
      <c r="A200" s="22" t="s">
        <v>1809</v>
      </c>
      <c r="B200" s="22" t="s">
        <v>1810</v>
      </c>
      <c r="C200" s="22" t="s">
        <v>1811</v>
      </c>
      <c r="D200" s="22" t="s">
        <v>1812</v>
      </c>
      <c r="E200" s="22" t="s">
        <v>513</v>
      </c>
    </row>
    <row r="201" spans="1:5" ht="31.5" x14ac:dyDescent="0.25">
      <c r="A201" s="22" t="s">
        <v>1813</v>
      </c>
      <c r="B201" s="22" t="s">
        <v>1814</v>
      </c>
      <c r="C201" s="22" t="s">
        <v>1815</v>
      </c>
      <c r="D201" s="22" t="s">
        <v>1746</v>
      </c>
      <c r="E201" s="22" t="s">
        <v>972</v>
      </c>
    </row>
    <row r="202" spans="1:5" ht="31.5" x14ac:dyDescent="0.25">
      <c r="A202" s="22" t="s">
        <v>1816</v>
      </c>
      <c r="B202" s="22" t="s">
        <v>1817</v>
      </c>
      <c r="C202" s="22" t="s">
        <v>1818</v>
      </c>
      <c r="D202" s="22" t="s">
        <v>1817</v>
      </c>
      <c r="E202" s="22" t="s">
        <v>513</v>
      </c>
    </row>
    <row r="203" spans="1:5" x14ac:dyDescent="0.25">
      <c r="A203" s="22" t="s">
        <v>1819</v>
      </c>
      <c r="B203" s="22" t="s">
        <v>1820</v>
      </c>
      <c r="C203" s="22" t="s">
        <v>1821</v>
      </c>
      <c r="D203" s="22" t="s">
        <v>1822</v>
      </c>
      <c r="E203" s="22" t="s">
        <v>513</v>
      </c>
    </row>
    <row r="204" spans="1:5" ht="31.5" x14ac:dyDescent="0.25">
      <c r="A204" s="22" t="s">
        <v>1823</v>
      </c>
      <c r="B204" s="22" t="s">
        <v>1824</v>
      </c>
      <c r="C204" s="22" t="s">
        <v>1825</v>
      </c>
      <c r="D204" s="22" t="s">
        <v>1826</v>
      </c>
      <c r="E204" s="22" t="s">
        <v>513</v>
      </c>
    </row>
    <row r="205" spans="1:5" ht="31.5" x14ac:dyDescent="0.25">
      <c r="A205" s="22" t="s">
        <v>1827</v>
      </c>
      <c r="B205" s="22" t="s">
        <v>1828</v>
      </c>
      <c r="C205" s="22" t="s">
        <v>1829</v>
      </c>
      <c r="D205" s="22" t="s">
        <v>1830</v>
      </c>
      <c r="E205" s="22" t="s">
        <v>513</v>
      </c>
    </row>
    <row r="206" spans="1:5" ht="31.5" x14ac:dyDescent="0.25">
      <c r="A206" s="22" t="s">
        <v>1831</v>
      </c>
      <c r="B206" s="22" t="s">
        <v>1832</v>
      </c>
      <c r="C206" s="22" t="s">
        <v>1833</v>
      </c>
      <c r="D206" s="22" t="s">
        <v>1834</v>
      </c>
      <c r="E206" s="22" t="s">
        <v>513</v>
      </c>
    </row>
    <row r="207" spans="1:5" ht="31.5" x14ac:dyDescent="0.25">
      <c r="A207" s="22" t="s">
        <v>1835</v>
      </c>
      <c r="B207" s="22" t="s">
        <v>1836</v>
      </c>
      <c r="C207" s="22" t="s">
        <v>1837</v>
      </c>
      <c r="D207" s="22" t="s">
        <v>1838</v>
      </c>
      <c r="E207" s="22" t="s">
        <v>513</v>
      </c>
    </row>
    <row r="208" spans="1:5" ht="31.5" x14ac:dyDescent="0.25">
      <c r="A208" s="22" t="s">
        <v>1839</v>
      </c>
      <c r="B208" s="22" t="s">
        <v>1840</v>
      </c>
      <c r="C208" s="22" t="s">
        <v>1841</v>
      </c>
      <c r="D208" s="22" t="s">
        <v>1758</v>
      </c>
      <c r="E208" s="22" t="s">
        <v>513</v>
      </c>
    </row>
    <row r="209" spans="1:5" ht="31.5" x14ac:dyDescent="0.25">
      <c r="A209" s="22" t="s">
        <v>1842</v>
      </c>
      <c r="B209" s="22" t="s">
        <v>1843</v>
      </c>
      <c r="C209" s="22" t="s">
        <v>1844</v>
      </c>
      <c r="D209" s="22" t="s">
        <v>1126</v>
      </c>
      <c r="E209" s="22" t="s">
        <v>513</v>
      </c>
    </row>
    <row r="210" spans="1:5" ht="31.5" x14ac:dyDescent="0.25">
      <c r="A210" s="22" t="s">
        <v>1845</v>
      </c>
      <c r="B210" s="22" t="s">
        <v>1846</v>
      </c>
      <c r="C210" s="22" t="s">
        <v>1847</v>
      </c>
      <c r="D210" s="22" t="s">
        <v>1126</v>
      </c>
      <c r="E210" s="22" t="s">
        <v>513</v>
      </c>
    </row>
    <row r="211" spans="1:5" ht="31.5" x14ac:dyDescent="0.25">
      <c r="A211" s="22" t="s">
        <v>1848</v>
      </c>
      <c r="B211" s="22" t="s">
        <v>1849</v>
      </c>
      <c r="C211" s="22" t="s">
        <v>1850</v>
      </c>
      <c r="D211" s="22" t="s">
        <v>1412</v>
      </c>
      <c r="E211" s="22" t="s">
        <v>513</v>
      </c>
    </row>
    <row r="212" spans="1:5" ht="31.5" x14ac:dyDescent="0.25">
      <c r="A212" s="22" t="s">
        <v>1851</v>
      </c>
      <c r="B212" s="22" t="s">
        <v>1852</v>
      </c>
      <c r="C212" s="22" t="s">
        <v>1853</v>
      </c>
      <c r="D212" s="22" t="s">
        <v>1854</v>
      </c>
      <c r="E212" s="22" t="s">
        <v>513</v>
      </c>
    </row>
    <row r="213" spans="1:5" ht="31.5" x14ac:dyDescent="0.25">
      <c r="A213" s="22" t="s">
        <v>1855</v>
      </c>
      <c r="B213" s="22" t="s">
        <v>1856</v>
      </c>
      <c r="C213" s="22" t="s">
        <v>1857</v>
      </c>
      <c r="D213" s="22" t="s">
        <v>1858</v>
      </c>
      <c r="E213" s="22" t="s">
        <v>513</v>
      </c>
    </row>
    <row r="214" spans="1:5" ht="31.5" x14ac:dyDescent="0.25">
      <c r="A214" s="22" t="s">
        <v>1859</v>
      </c>
      <c r="B214" s="22" t="s">
        <v>1424</v>
      </c>
      <c r="C214" s="22" t="s">
        <v>1860</v>
      </c>
      <c r="D214" s="22" t="s">
        <v>1861</v>
      </c>
      <c r="E214" s="22" t="s">
        <v>513</v>
      </c>
    </row>
    <row r="215" spans="1:5" ht="31.5" x14ac:dyDescent="0.25">
      <c r="A215" s="22" t="s">
        <v>1862</v>
      </c>
      <c r="B215" s="22" t="s">
        <v>1863</v>
      </c>
      <c r="C215" s="22" t="s">
        <v>1864</v>
      </c>
      <c r="D215" s="22" t="s">
        <v>1464</v>
      </c>
      <c r="E215" s="22" t="s">
        <v>513</v>
      </c>
    </row>
    <row r="216" spans="1:5" ht="31.5" x14ac:dyDescent="0.25">
      <c r="A216" s="22" t="s">
        <v>1865</v>
      </c>
      <c r="B216" s="22" t="s">
        <v>1866</v>
      </c>
      <c r="C216" s="22" t="s">
        <v>1867</v>
      </c>
      <c r="D216" s="22" t="s">
        <v>1422</v>
      </c>
      <c r="E216" s="22" t="s">
        <v>513</v>
      </c>
    </row>
    <row r="217" spans="1:5" ht="31.5" x14ac:dyDescent="0.25">
      <c r="A217" s="22" t="s">
        <v>1868</v>
      </c>
      <c r="B217" s="22" t="s">
        <v>1407</v>
      </c>
      <c r="C217" s="22" t="s">
        <v>1869</v>
      </c>
      <c r="D217" s="22" t="s">
        <v>1870</v>
      </c>
      <c r="E217" s="22" t="s">
        <v>513</v>
      </c>
    </row>
    <row r="218" spans="1:5" ht="31.5" x14ac:dyDescent="0.25">
      <c r="A218" s="22" t="s">
        <v>1871</v>
      </c>
      <c r="B218" s="22" t="s">
        <v>1872</v>
      </c>
      <c r="C218" s="22" t="s">
        <v>1873</v>
      </c>
      <c r="D218" s="22" t="s">
        <v>1874</v>
      </c>
      <c r="E218" s="22" t="s">
        <v>513</v>
      </c>
    </row>
    <row r="219" spans="1:5" ht="31.5" x14ac:dyDescent="0.25">
      <c r="A219" s="22" t="s">
        <v>1875</v>
      </c>
      <c r="B219" s="22" t="s">
        <v>1876</v>
      </c>
      <c r="C219" s="22" t="s">
        <v>1877</v>
      </c>
      <c r="D219" s="22" t="s">
        <v>1663</v>
      </c>
      <c r="E219" s="22" t="s">
        <v>513</v>
      </c>
    </row>
    <row r="220" spans="1:5" ht="31.5" x14ac:dyDescent="0.25">
      <c r="A220" s="22" t="s">
        <v>1878</v>
      </c>
      <c r="B220" s="22" t="s">
        <v>1879</v>
      </c>
      <c r="C220" s="22" t="s">
        <v>1880</v>
      </c>
      <c r="D220" s="22" t="s">
        <v>1536</v>
      </c>
      <c r="E220" s="22" t="s">
        <v>513</v>
      </c>
    </row>
    <row r="221" spans="1:5" ht="47.25" x14ac:dyDescent="0.25">
      <c r="A221" s="22" t="s">
        <v>1881</v>
      </c>
      <c r="B221" s="22" t="s">
        <v>1882</v>
      </c>
      <c r="C221" s="22" t="s">
        <v>1883</v>
      </c>
      <c r="D221" s="22" t="s">
        <v>1884</v>
      </c>
      <c r="E221" s="22" t="s">
        <v>513</v>
      </c>
    </row>
    <row r="222" spans="1:5" ht="31.5" x14ac:dyDescent="0.25">
      <c r="A222" s="22" t="s">
        <v>1885</v>
      </c>
      <c r="B222" s="22" t="s">
        <v>1886</v>
      </c>
      <c r="C222" s="22" t="s">
        <v>1887</v>
      </c>
      <c r="D222" s="22" t="s">
        <v>1496</v>
      </c>
      <c r="E222" s="22" t="s">
        <v>513</v>
      </c>
    </row>
    <row r="223" spans="1:5" ht="31.5" x14ac:dyDescent="0.25">
      <c r="A223" s="22" t="s">
        <v>1888</v>
      </c>
      <c r="B223" s="22" t="s">
        <v>1889</v>
      </c>
      <c r="C223" s="22" t="s">
        <v>1890</v>
      </c>
      <c r="D223" s="22" t="s">
        <v>1891</v>
      </c>
      <c r="E223" s="22" t="s">
        <v>513</v>
      </c>
    </row>
    <row r="224" spans="1:5" ht="31.5" x14ac:dyDescent="0.25">
      <c r="A224" s="22" t="s">
        <v>1892</v>
      </c>
      <c r="B224" s="22" t="s">
        <v>1893</v>
      </c>
      <c r="C224" s="22" t="s">
        <v>1894</v>
      </c>
      <c r="D224" s="22" t="s">
        <v>1504</v>
      </c>
      <c r="E224" s="22" t="s">
        <v>513</v>
      </c>
    </row>
    <row r="225" spans="1:5" ht="31.5" x14ac:dyDescent="0.25">
      <c r="A225" s="22" t="s">
        <v>1895</v>
      </c>
      <c r="B225" s="22" t="s">
        <v>1896</v>
      </c>
      <c r="C225" s="22" t="s">
        <v>1897</v>
      </c>
      <c r="D225" s="22" t="s">
        <v>1843</v>
      </c>
      <c r="E225" s="22" t="s">
        <v>513</v>
      </c>
    </row>
    <row r="226" spans="1:5" ht="31.5" x14ac:dyDescent="0.25">
      <c r="A226" s="22" t="s">
        <v>1898</v>
      </c>
      <c r="B226" s="22" t="s">
        <v>1899</v>
      </c>
      <c r="C226" s="22" t="s">
        <v>1900</v>
      </c>
      <c r="D226" s="22" t="s">
        <v>1471</v>
      </c>
      <c r="E226" s="22" t="s">
        <v>513</v>
      </c>
    </row>
    <row r="227" spans="1:5" ht="31.5" x14ac:dyDescent="0.25">
      <c r="A227" s="22" t="s">
        <v>1901</v>
      </c>
      <c r="B227" s="22" t="s">
        <v>1902</v>
      </c>
      <c r="C227" s="22" t="s">
        <v>1903</v>
      </c>
      <c r="D227" s="22" t="s">
        <v>1904</v>
      </c>
      <c r="E227" s="22" t="s">
        <v>513</v>
      </c>
    </row>
    <row r="228" spans="1:5" ht="47.25" x14ac:dyDescent="0.25">
      <c r="A228" s="22" t="s">
        <v>1905</v>
      </c>
      <c r="B228" s="22" t="s">
        <v>1906</v>
      </c>
      <c r="C228" s="22" t="s">
        <v>1907</v>
      </c>
      <c r="D228" s="22" t="s">
        <v>1908</v>
      </c>
      <c r="E228" s="22" t="s">
        <v>513</v>
      </c>
    </row>
    <row r="229" spans="1:5" ht="31.5" x14ac:dyDescent="0.25">
      <c r="A229" s="22" t="s">
        <v>1909</v>
      </c>
      <c r="B229" s="22" t="s">
        <v>1910</v>
      </c>
      <c r="C229" s="22" t="s">
        <v>1911</v>
      </c>
      <c r="D229" s="22" t="s">
        <v>1618</v>
      </c>
      <c r="E229" s="22" t="s">
        <v>513</v>
      </c>
    </row>
    <row r="230" spans="1:5" ht="31.5" x14ac:dyDescent="0.25">
      <c r="A230" s="22" t="s">
        <v>1912</v>
      </c>
      <c r="B230" s="22" t="s">
        <v>1913</v>
      </c>
      <c r="C230" s="22" t="s">
        <v>1914</v>
      </c>
      <c r="D230" s="22" t="s">
        <v>1817</v>
      </c>
      <c r="E230" s="22" t="s">
        <v>972</v>
      </c>
    </row>
    <row r="231" spans="1:5" ht="31.5" x14ac:dyDescent="0.25">
      <c r="A231" s="22" t="s">
        <v>1915</v>
      </c>
      <c r="B231" s="22" t="s">
        <v>1916</v>
      </c>
      <c r="C231" s="22" t="s">
        <v>1917</v>
      </c>
      <c r="D231" s="22" t="s">
        <v>1918</v>
      </c>
      <c r="E231" s="22" t="s">
        <v>972</v>
      </c>
    </row>
    <row r="232" spans="1:5" ht="31.5" x14ac:dyDescent="0.25">
      <c r="A232" s="22" t="s">
        <v>1919</v>
      </c>
      <c r="B232" s="22" t="s">
        <v>1920</v>
      </c>
      <c r="C232" s="22" t="s">
        <v>1921</v>
      </c>
      <c r="D232" s="22" t="s">
        <v>1922</v>
      </c>
      <c r="E232" s="22" t="s">
        <v>513</v>
      </c>
    </row>
    <row r="233" spans="1:5" ht="31.5" x14ac:dyDescent="0.25">
      <c r="A233" s="22" t="s">
        <v>1923</v>
      </c>
      <c r="B233" s="22" t="s">
        <v>1924</v>
      </c>
      <c r="C233" s="22" t="s">
        <v>1925</v>
      </c>
      <c r="D233" s="22" t="s">
        <v>1920</v>
      </c>
      <c r="E233" s="22" t="s">
        <v>513</v>
      </c>
    </row>
    <row r="234" spans="1:5" ht="31.5" x14ac:dyDescent="0.25">
      <c r="A234" s="22" t="s">
        <v>1926</v>
      </c>
      <c r="B234" s="22" t="s">
        <v>1119</v>
      </c>
      <c r="C234" s="22" t="s">
        <v>1927</v>
      </c>
      <c r="D234" s="22" t="s">
        <v>938</v>
      </c>
      <c r="E234" s="22" t="s">
        <v>513</v>
      </c>
    </row>
    <row r="235" spans="1:5" ht="31.5" x14ac:dyDescent="0.25">
      <c r="A235" s="22" t="s">
        <v>1928</v>
      </c>
      <c r="B235" s="22" t="s">
        <v>1929</v>
      </c>
      <c r="C235" s="22" t="s">
        <v>1930</v>
      </c>
      <c r="D235" s="22" t="s">
        <v>938</v>
      </c>
      <c r="E235" s="22" t="s">
        <v>513</v>
      </c>
    </row>
    <row r="236" spans="1:5" ht="31.5" x14ac:dyDescent="0.25">
      <c r="A236" s="22" t="s">
        <v>1931</v>
      </c>
      <c r="B236" s="22" t="s">
        <v>1932</v>
      </c>
      <c r="C236" s="22" t="s">
        <v>1933</v>
      </c>
      <c r="D236" s="22" t="s">
        <v>1934</v>
      </c>
      <c r="E236" s="22" t="s">
        <v>972</v>
      </c>
    </row>
    <row r="237" spans="1:5" ht="31.5" x14ac:dyDescent="0.25">
      <c r="A237" s="22" t="s">
        <v>1935</v>
      </c>
      <c r="B237" s="22" t="s">
        <v>1936</v>
      </c>
      <c r="C237" s="22" t="s">
        <v>1937</v>
      </c>
      <c r="D237" s="22" t="s">
        <v>1938</v>
      </c>
      <c r="E237" s="22" t="s">
        <v>513</v>
      </c>
    </row>
    <row r="238" spans="1:5" ht="31.5" x14ac:dyDescent="0.25">
      <c r="A238" s="22" t="s">
        <v>1939</v>
      </c>
      <c r="B238" s="22" t="s">
        <v>1940</v>
      </c>
      <c r="C238" s="22" t="s">
        <v>1941</v>
      </c>
      <c r="D238" s="22" t="s">
        <v>1942</v>
      </c>
      <c r="E238" s="22" t="s">
        <v>972</v>
      </c>
    </row>
    <row r="239" spans="1:5" ht="31.5" x14ac:dyDescent="0.25">
      <c r="A239" s="22" t="s">
        <v>1943</v>
      </c>
      <c r="B239" s="22" t="s">
        <v>1944</v>
      </c>
      <c r="C239" s="22" t="s">
        <v>1945</v>
      </c>
      <c r="D239" s="22" t="s">
        <v>1946</v>
      </c>
      <c r="E239" s="22" t="s">
        <v>513</v>
      </c>
    </row>
    <row r="240" spans="1:5" ht="31.5" x14ac:dyDescent="0.25">
      <c r="A240" s="22" t="s">
        <v>1947</v>
      </c>
      <c r="B240" s="22" t="s">
        <v>1948</v>
      </c>
      <c r="C240" s="22" t="s">
        <v>1949</v>
      </c>
      <c r="D240" s="22" t="s">
        <v>1950</v>
      </c>
      <c r="E240" s="22" t="s">
        <v>463</v>
      </c>
    </row>
    <row r="241" spans="1:5" ht="31.5" x14ac:dyDescent="0.25">
      <c r="A241" s="22" t="s">
        <v>1951</v>
      </c>
      <c r="B241" s="22" t="s">
        <v>1952</v>
      </c>
      <c r="C241" s="22" t="s">
        <v>1953</v>
      </c>
      <c r="D241" s="22" t="s">
        <v>1119</v>
      </c>
      <c r="E241" s="22" t="s">
        <v>513</v>
      </c>
    </row>
    <row r="242" spans="1:5" ht="31.5" x14ac:dyDescent="0.25">
      <c r="A242" s="22" t="s">
        <v>1954</v>
      </c>
      <c r="B242" s="22" t="s">
        <v>1955</v>
      </c>
      <c r="C242" s="22" t="s">
        <v>1956</v>
      </c>
      <c r="D242" s="22" t="s">
        <v>1957</v>
      </c>
      <c r="E242" s="22" t="s">
        <v>513</v>
      </c>
    </row>
    <row r="243" spans="1:5" ht="32.25" x14ac:dyDescent="0.25">
      <c r="A243" s="22" t="s">
        <v>1958</v>
      </c>
      <c r="B243" s="22" t="s">
        <v>1959</v>
      </c>
      <c r="C243" s="22" t="s">
        <v>1960</v>
      </c>
      <c r="D243" s="22" t="s">
        <v>1780</v>
      </c>
      <c r="E243" s="22" t="s">
        <v>513</v>
      </c>
    </row>
    <row r="244" spans="1:5" x14ac:dyDescent="0.25">
      <c r="A244" s="22" t="s">
        <v>1961</v>
      </c>
      <c r="B244" s="22" t="s">
        <v>1962</v>
      </c>
      <c r="C244" s="22" t="s">
        <v>1963</v>
      </c>
      <c r="D244" s="22" t="s">
        <v>1964</v>
      </c>
      <c r="E244" s="22" t="s">
        <v>513</v>
      </c>
    </row>
    <row r="245" spans="1:5" ht="31.5" x14ac:dyDescent="0.25">
      <c r="A245" s="22" t="s">
        <v>1965</v>
      </c>
      <c r="B245" s="22" t="s">
        <v>1966</v>
      </c>
      <c r="C245" s="22" t="s">
        <v>1967</v>
      </c>
      <c r="D245" s="22" t="s">
        <v>1968</v>
      </c>
      <c r="E245" s="22" t="s">
        <v>513</v>
      </c>
    </row>
    <row r="246" spans="1:5" ht="31.5" x14ac:dyDescent="0.25">
      <c r="A246" s="22" t="s">
        <v>1969</v>
      </c>
      <c r="B246" s="22" t="s">
        <v>1970</v>
      </c>
      <c r="C246" s="22" t="s">
        <v>1971</v>
      </c>
      <c r="D246" s="22" t="s">
        <v>1972</v>
      </c>
      <c r="E246" s="22" t="s">
        <v>513</v>
      </c>
    </row>
    <row r="247" spans="1:5" ht="31.5" x14ac:dyDescent="0.25">
      <c r="A247" s="22" t="s">
        <v>1973</v>
      </c>
      <c r="B247" s="22" t="s">
        <v>1974</v>
      </c>
      <c r="C247" s="22" t="s">
        <v>1975</v>
      </c>
      <c r="D247" s="22" t="s">
        <v>1976</v>
      </c>
      <c r="E247" s="22" t="s">
        <v>972</v>
      </c>
    </row>
    <row r="248" spans="1:5" ht="31.5" x14ac:dyDescent="0.25">
      <c r="A248" s="22" t="s">
        <v>1977</v>
      </c>
      <c r="B248" s="22" t="s">
        <v>1978</v>
      </c>
      <c r="C248" s="22" t="s">
        <v>1979</v>
      </c>
      <c r="D248" s="22" t="s">
        <v>1891</v>
      </c>
      <c r="E248" s="22" t="s">
        <v>513</v>
      </c>
    </row>
    <row r="249" spans="1:5" ht="31.5" x14ac:dyDescent="0.25">
      <c r="A249" s="22" t="s">
        <v>1980</v>
      </c>
      <c r="B249" s="22" t="s">
        <v>1981</v>
      </c>
      <c r="C249" s="22" t="s">
        <v>1982</v>
      </c>
      <c r="D249" s="22" t="s">
        <v>1504</v>
      </c>
      <c r="E249" s="22" t="s">
        <v>513</v>
      </c>
    </row>
    <row r="250" spans="1:5" ht="47.25" x14ac:dyDescent="0.25">
      <c r="A250" s="22" t="s">
        <v>1983</v>
      </c>
      <c r="B250" s="22" t="s">
        <v>1984</v>
      </c>
      <c r="C250" s="22" t="s">
        <v>1985</v>
      </c>
      <c r="D250" s="22" t="s">
        <v>1986</v>
      </c>
      <c r="E250" s="22" t="s">
        <v>513</v>
      </c>
    </row>
    <row r="251" spans="1:5" ht="32.25" x14ac:dyDescent="0.25">
      <c r="A251" s="22" t="s">
        <v>1987</v>
      </c>
      <c r="B251" s="22" t="s">
        <v>1988</v>
      </c>
      <c r="C251" s="22" t="s">
        <v>1989</v>
      </c>
      <c r="D251" s="22" t="s">
        <v>1990</v>
      </c>
      <c r="E251" s="22" t="s">
        <v>513</v>
      </c>
    </row>
    <row r="252" spans="1:5" ht="31.5" x14ac:dyDescent="0.25">
      <c r="A252" s="22" t="s">
        <v>1991</v>
      </c>
      <c r="B252" s="22" t="s">
        <v>1992</v>
      </c>
      <c r="C252" s="22" t="s">
        <v>1993</v>
      </c>
      <c r="D252" s="22" t="s">
        <v>1990</v>
      </c>
      <c r="E252" s="22" t="s">
        <v>513</v>
      </c>
    </row>
    <row r="253" spans="1:5" ht="47.25" x14ac:dyDescent="0.25">
      <c r="A253" s="22" t="s">
        <v>1994</v>
      </c>
      <c r="B253" s="22" t="s">
        <v>1995</v>
      </c>
      <c r="C253" s="22" t="s">
        <v>1996</v>
      </c>
      <c r="D253" s="22" t="s">
        <v>1997</v>
      </c>
      <c r="E253" s="22" t="s">
        <v>513</v>
      </c>
    </row>
    <row r="254" spans="1:5" ht="31.5" x14ac:dyDescent="0.25">
      <c r="A254" s="22" t="s">
        <v>1998</v>
      </c>
      <c r="B254" s="22" t="s">
        <v>1999</v>
      </c>
      <c r="C254" s="22" t="s">
        <v>2000</v>
      </c>
      <c r="D254" s="22" t="s">
        <v>2001</v>
      </c>
      <c r="E254" s="22" t="s">
        <v>513</v>
      </c>
    </row>
    <row r="255" spans="1:5" ht="31.5" x14ac:dyDescent="0.25">
      <c r="A255" s="22" t="s">
        <v>2002</v>
      </c>
      <c r="B255" s="22" t="s">
        <v>2003</v>
      </c>
      <c r="C255" s="22" t="s">
        <v>2004</v>
      </c>
      <c r="D255" s="22" t="s">
        <v>2005</v>
      </c>
      <c r="E255" s="22" t="s">
        <v>513</v>
      </c>
    </row>
    <row r="256" spans="1:5" ht="31.5" x14ac:dyDescent="0.25">
      <c r="A256" s="22" t="s">
        <v>2006</v>
      </c>
      <c r="B256" s="22" t="s">
        <v>2007</v>
      </c>
      <c r="C256" s="22" t="s">
        <v>2008</v>
      </c>
      <c r="D256" s="22" t="s">
        <v>2009</v>
      </c>
      <c r="E256" s="22" t="s">
        <v>972</v>
      </c>
    </row>
    <row r="257" spans="1:5" x14ac:dyDescent="0.25">
      <c r="A257" s="22" t="s">
        <v>2010</v>
      </c>
      <c r="B257" s="22" t="s">
        <v>1141</v>
      </c>
      <c r="C257" s="22" t="s">
        <v>2011</v>
      </c>
      <c r="D257" s="22" t="s">
        <v>2012</v>
      </c>
      <c r="E257" s="22" t="s">
        <v>513</v>
      </c>
    </row>
    <row r="258" spans="1:5" ht="31.5" x14ac:dyDescent="0.25">
      <c r="A258" s="22" t="s">
        <v>2013</v>
      </c>
      <c r="B258" s="22" t="s">
        <v>2014</v>
      </c>
      <c r="C258" s="22" t="s">
        <v>2015</v>
      </c>
      <c r="D258" s="22" t="s">
        <v>2016</v>
      </c>
      <c r="E258" s="22" t="s">
        <v>513</v>
      </c>
    </row>
    <row r="259" spans="1:5" ht="31.5" x14ac:dyDescent="0.25">
      <c r="A259" s="22" t="s">
        <v>2017</v>
      </c>
      <c r="B259" s="22" t="s">
        <v>2018</v>
      </c>
      <c r="C259" s="22" t="s">
        <v>2019</v>
      </c>
      <c r="D259" s="22" t="s">
        <v>1808</v>
      </c>
      <c r="E259" s="22" t="s">
        <v>513</v>
      </c>
    </row>
    <row r="260" spans="1:5" x14ac:dyDescent="0.25">
      <c r="A260" s="22" t="s">
        <v>2020</v>
      </c>
      <c r="B260" s="22" t="s">
        <v>1212</v>
      </c>
      <c r="C260" s="22" t="s">
        <v>2021</v>
      </c>
      <c r="D260" s="22" t="s">
        <v>1464</v>
      </c>
      <c r="E260" s="22" t="s">
        <v>513</v>
      </c>
    </row>
    <row r="261" spans="1:5" ht="31.5" x14ac:dyDescent="0.25">
      <c r="A261" s="22" t="s">
        <v>2022</v>
      </c>
      <c r="B261" s="22" t="s">
        <v>39</v>
      </c>
      <c r="C261" s="22" t="s">
        <v>2023</v>
      </c>
      <c r="D261" s="22" t="s">
        <v>1870</v>
      </c>
      <c r="E261" s="22" t="s">
        <v>513</v>
      </c>
    </row>
    <row r="262" spans="1:5" x14ac:dyDescent="0.25">
      <c r="A262" s="22" t="s">
        <v>2024</v>
      </c>
      <c r="B262" s="22" t="s">
        <v>333</v>
      </c>
      <c r="C262" s="22" t="s">
        <v>2025</v>
      </c>
      <c r="D262" s="22" t="s">
        <v>1780</v>
      </c>
      <c r="E262" s="22" t="s">
        <v>513</v>
      </c>
    </row>
    <row r="263" spans="1:5" x14ac:dyDescent="0.25">
      <c r="A263" s="22" t="s">
        <v>2026</v>
      </c>
      <c r="B263" s="22" t="s">
        <v>327</v>
      </c>
      <c r="C263" s="22" t="s">
        <v>2027</v>
      </c>
      <c r="D263" s="22" t="s">
        <v>2028</v>
      </c>
      <c r="E263" s="22" t="s">
        <v>513</v>
      </c>
    </row>
    <row r="264" spans="1:5" x14ac:dyDescent="0.25">
      <c r="A264" s="22" t="s">
        <v>2029</v>
      </c>
      <c r="B264" s="22" t="s">
        <v>1417</v>
      </c>
      <c r="C264" s="22" t="s">
        <v>2030</v>
      </c>
      <c r="D264" s="22" t="s">
        <v>2031</v>
      </c>
      <c r="E264" s="22" t="s">
        <v>972</v>
      </c>
    </row>
    <row r="265" spans="1:5" x14ac:dyDescent="0.25">
      <c r="A265" s="22" t="s">
        <v>2032</v>
      </c>
      <c r="B265" s="22" t="s">
        <v>2033</v>
      </c>
      <c r="C265" s="22" t="s">
        <v>2034</v>
      </c>
      <c r="D265" s="22" t="s">
        <v>1493</v>
      </c>
      <c r="E265" s="22" t="s">
        <v>513</v>
      </c>
    </row>
    <row r="266" spans="1:5" x14ac:dyDescent="0.25">
      <c r="A266" s="22" t="s">
        <v>2035</v>
      </c>
      <c r="B266" s="22" t="s">
        <v>2036</v>
      </c>
      <c r="C266" s="22" t="s">
        <v>2037</v>
      </c>
      <c r="D266" s="22" t="s">
        <v>1636</v>
      </c>
      <c r="E266" s="22" t="s">
        <v>513</v>
      </c>
    </row>
    <row r="267" spans="1:5" ht="31.5" x14ac:dyDescent="0.25">
      <c r="A267" s="22" t="s">
        <v>2038</v>
      </c>
      <c r="B267" s="22" t="s">
        <v>2039</v>
      </c>
      <c r="C267" s="22" t="s">
        <v>2040</v>
      </c>
      <c r="D267" s="22" t="s">
        <v>2041</v>
      </c>
      <c r="E267" s="22" t="s">
        <v>513</v>
      </c>
    </row>
    <row r="268" spans="1:5" ht="31.5" x14ac:dyDescent="0.25">
      <c r="A268" s="22" t="s">
        <v>2042</v>
      </c>
      <c r="B268" s="22" t="s">
        <v>1729</v>
      </c>
      <c r="C268" s="22" t="s">
        <v>2043</v>
      </c>
      <c r="D268" s="22" t="s">
        <v>2044</v>
      </c>
      <c r="E268" s="22" t="s">
        <v>513</v>
      </c>
    </row>
    <row r="269" spans="1:5" x14ac:dyDescent="0.25">
      <c r="A269" s="22" t="s">
        <v>2045</v>
      </c>
      <c r="B269" s="22" t="s">
        <v>450</v>
      </c>
      <c r="C269" s="22" t="s">
        <v>2046</v>
      </c>
      <c r="D269" s="22" t="s">
        <v>1496</v>
      </c>
      <c r="E269" s="22" t="s">
        <v>513</v>
      </c>
    </row>
    <row r="270" spans="1:5" ht="31.5" x14ac:dyDescent="0.25">
      <c r="A270" s="22" t="s">
        <v>2047</v>
      </c>
      <c r="B270" s="22" t="s">
        <v>1201</v>
      </c>
      <c r="C270" s="22" t="s">
        <v>2048</v>
      </c>
      <c r="D270" s="22" t="s">
        <v>1454</v>
      </c>
      <c r="E270" s="22" t="s">
        <v>513</v>
      </c>
    </row>
    <row r="271" spans="1:5" ht="31.5" x14ac:dyDescent="0.25">
      <c r="A271" s="22" t="s">
        <v>2049</v>
      </c>
      <c r="B271" s="22" t="s">
        <v>1037</v>
      </c>
      <c r="C271" s="22" t="s">
        <v>2050</v>
      </c>
      <c r="D271" s="22" t="s">
        <v>1596</v>
      </c>
      <c r="E271" s="22" t="s">
        <v>513</v>
      </c>
    </row>
    <row r="272" spans="1:5" x14ac:dyDescent="0.25">
      <c r="A272" s="22" t="s">
        <v>2051</v>
      </c>
      <c r="B272" s="22" t="s">
        <v>1174</v>
      </c>
      <c r="C272" s="22" t="s">
        <v>2052</v>
      </c>
      <c r="D272" s="22" t="s">
        <v>2053</v>
      </c>
      <c r="E272" s="22" t="s">
        <v>513</v>
      </c>
    </row>
    <row r="273" spans="1:5" ht="31.5" x14ac:dyDescent="0.25">
      <c r="A273" s="22" t="s">
        <v>2054</v>
      </c>
      <c r="B273" s="22" t="s">
        <v>2055</v>
      </c>
      <c r="C273" s="22" t="s">
        <v>2056</v>
      </c>
      <c r="D273" s="22" t="s">
        <v>2057</v>
      </c>
      <c r="E273" s="22" t="s">
        <v>513</v>
      </c>
    </row>
    <row r="274" spans="1:5" ht="31.5" x14ac:dyDescent="0.25">
      <c r="A274" s="22" t="s">
        <v>2058</v>
      </c>
      <c r="B274" s="22" t="s">
        <v>1652</v>
      </c>
      <c r="C274" s="22" t="s">
        <v>2059</v>
      </c>
      <c r="D274" s="22" t="s">
        <v>1464</v>
      </c>
      <c r="E274" s="22" t="s">
        <v>513</v>
      </c>
    </row>
    <row r="275" spans="1:5" ht="31.5" x14ac:dyDescent="0.25">
      <c r="A275" s="22" t="s">
        <v>2060</v>
      </c>
      <c r="B275" s="22" t="s">
        <v>1731</v>
      </c>
      <c r="C275" s="22" t="s">
        <v>2061</v>
      </c>
      <c r="D275" s="22" t="s">
        <v>1464</v>
      </c>
      <c r="E275" s="22" t="s">
        <v>513</v>
      </c>
    </row>
    <row r="276" spans="1:5" ht="31.5" x14ac:dyDescent="0.25">
      <c r="A276" s="22" t="s">
        <v>2062</v>
      </c>
      <c r="B276" s="22" t="s">
        <v>2063</v>
      </c>
      <c r="C276" s="22" t="s">
        <v>2064</v>
      </c>
      <c r="D276" s="22" t="s">
        <v>1581</v>
      </c>
      <c r="E276" s="22" t="s">
        <v>513</v>
      </c>
    </row>
    <row r="277" spans="1:5" x14ac:dyDescent="0.25">
      <c r="A277" s="22" t="s">
        <v>2065</v>
      </c>
      <c r="B277" s="22" t="s">
        <v>2066</v>
      </c>
      <c r="C277" s="22" t="s">
        <v>2067</v>
      </c>
      <c r="D277" s="22" t="s">
        <v>2068</v>
      </c>
      <c r="E277" s="22" t="s">
        <v>513</v>
      </c>
    </row>
    <row r="278" spans="1:5" ht="31.5" x14ac:dyDescent="0.25">
      <c r="A278" s="22" t="s">
        <v>2069</v>
      </c>
      <c r="B278" s="22" t="s">
        <v>2070</v>
      </c>
      <c r="C278" s="22" t="s">
        <v>2071</v>
      </c>
      <c r="D278" s="22" t="s">
        <v>2072</v>
      </c>
      <c r="E278" s="22" t="s">
        <v>972</v>
      </c>
    </row>
    <row r="279" spans="1:5" ht="31.5" x14ac:dyDescent="0.25">
      <c r="A279" s="22" t="s">
        <v>2073</v>
      </c>
      <c r="B279" s="22" t="s">
        <v>2074</v>
      </c>
      <c r="C279" s="22" t="s">
        <v>2075</v>
      </c>
      <c r="D279" s="22" t="s">
        <v>1667</v>
      </c>
      <c r="E279" s="22" t="s">
        <v>972</v>
      </c>
    </row>
    <row r="280" spans="1:5" ht="31.5" x14ac:dyDescent="0.25">
      <c r="A280" s="22" t="s">
        <v>2076</v>
      </c>
      <c r="B280" s="22" t="s">
        <v>2077</v>
      </c>
      <c r="C280" s="22" t="s">
        <v>2078</v>
      </c>
      <c r="D280" s="22" t="s">
        <v>2079</v>
      </c>
      <c r="E280" s="22" t="s">
        <v>972</v>
      </c>
    </row>
    <row r="281" spans="1:5" ht="31.5" x14ac:dyDescent="0.25">
      <c r="A281" s="22" t="s">
        <v>2080</v>
      </c>
      <c r="B281" s="22" t="s">
        <v>2081</v>
      </c>
      <c r="C281" s="22" t="s">
        <v>2082</v>
      </c>
      <c r="D281" s="22" t="s">
        <v>2083</v>
      </c>
      <c r="E281" s="22" t="s">
        <v>513</v>
      </c>
    </row>
    <row r="282" spans="1:5" ht="31.5" x14ac:dyDescent="0.25">
      <c r="A282" s="22" t="s">
        <v>2084</v>
      </c>
      <c r="B282" s="22" t="s">
        <v>1688</v>
      </c>
      <c r="C282" s="22" t="s">
        <v>2085</v>
      </c>
      <c r="D282" s="22" t="s">
        <v>1141</v>
      </c>
      <c r="E282" s="22" t="s">
        <v>972</v>
      </c>
    </row>
    <row r="283" spans="1:5" ht="31.5" x14ac:dyDescent="0.25">
      <c r="A283" s="22" t="s">
        <v>2086</v>
      </c>
      <c r="B283" s="22" t="s">
        <v>2087</v>
      </c>
      <c r="C283" s="22" t="s">
        <v>2088</v>
      </c>
      <c r="D283" s="22" t="s">
        <v>1673</v>
      </c>
      <c r="E283" s="22" t="s">
        <v>513</v>
      </c>
    </row>
    <row r="284" spans="1:5" ht="31.5" x14ac:dyDescent="0.25">
      <c r="A284" s="22" t="s">
        <v>2089</v>
      </c>
      <c r="B284" s="22" t="s">
        <v>2090</v>
      </c>
      <c r="C284" s="22" t="s">
        <v>2091</v>
      </c>
      <c r="D284" s="22" t="s">
        <v>2092</v>
      </c>
      <c r="E284" s="22" t="s">
        <v>972</v>
      </c>
    </row>
    <row r="285" spans="1:5" ht="31.5" x14ac:dyDescent="0.25">
      <c r="A285" s="22" t="s">
        <v>2093</v>
      </c>
      <c r="B285" s="22" t="s">
        <v>2094</v>
      </c>
      <c r="C285" s="22" t="s">
        <v>2095</v>
      </c>
      <c r="D285" s="22" t="s">
        <v>2096</v>
      </c>
      <c r="E285" s="22" t="s">
        <v>513</v>
      </c>
    </row>
    <row r="286" spans="1:5" ht="48" x14ac:dyDescent="0.25">
      <c r="A286" s="22" t="s">
        <v>2097</v>
      </c>
      <c r="B286" s="22" t="s">
        <v>2098</v>
      </c>
      <c r="C286" s="22" t="s">
        <v>2099</v>
      </c>
      <c r="D286" s="22" t="s">
        <v>2100</v>
      </c>
      <c r="E286" s="22" t="s">
        <v>513</v>
      </c>
    </row>
    <row r="287" spans="1:5" ht="31.5" x14ac:dyDescent="0.25">
      <c r="A287" s="22" t="s">
        <v>2101</v>
      </c>
      <c r="B287" s="22" t="s">
        <v>2102</v>
      </c>
      <c r="C287" s="22" t="s">
        <v>2103</v>
      </c>
      <c r="D287" s="22" t="s">
        <v>2104</v>
      </c>
      <c r="E287" s="22" t="s">
        <v>513</v>
      </c>
    </row>
    <row r="288" spans="1:5" ht="31.5" x14ac:dyDescent="0.25">
      <c r="A288" s="22" t="s">
        <v>2105</v>
      </c>
      <c r="B288" s="22" t="s">
        <v>2106</v>
      </c>
      <c r="C288" s="22" t="s">
        <v>2107</v>
      </c>
      <c r="D288" s="22" t="s">
        <v>2108</v>
      </c>
      <c r="E288" s="22" t="s">
        <v>972</v>
      </c>
    </row>
    <row r="289" spans="1:5" ht="47.25" x14ac:dyDescent="0.25">
      <c r="A289" s="22" t="s">
        <v>2109</v>
      </c>
      <c r="B289" s="22" t="s">
        <v>2110</v>
      </c>
      <c r="C289" s="22" t="s">
        <v>2111</v>
      </c>
      <c r="D289" s="22" t="s">
        <v>1149</v>
      </c>
      <c r="E289" s="22" t="s">
        <v>513</v>
      </c>
    </row>
    <row r="290" spans="1:5" ht="31.5" x14ac:dyDescent="0.25">
      <c r="A290" s="22" t="s">
        <v>2112</v>
      </c>
      <c r="B290" s="22" t="s">
        <v>2113</v>
      </c>
      <c r="C290" s="22" t="s">
        <v>2114</v>
      </c>
      <c r="D290" s="22" t="s">
        <v>2115</v>
      </c>
      <c r="E290" s="22" t="s">
        <v>513</v>
      </c>
    </row>
    <row r="291" spans="1:5" ht="31.5" x14ac:dyDescent="0.25">
      <c r="A291" s="22" t="s">
        <v>2116</v>
      </c>
      <c r="B291" s="22" t="s">
        <v>2117</v>
      </c>
      <c r="C291" s="22" t="s">
        <v>2118</v>
      </c>
      <c r="D291" s="22" t="s">
        <v>2119</v>
      </c>
      <c r="E291" s="22" t="s">
        <v>972</v>
      </c>
    </row>
    <row r="292" spans="1:5" ht="31.5" x14ac:dyDescent="0.25">
      <c r="A292" s="22" t="s">
        <v>2120</v>
      </c>
      <c r="B292" s="22" t="s">
        <v>2121</v>
      </c>
      <c r="C292" s="22" t="s">
        <v>2122</v>
      </c>
      <c r="D292" s="22" t="s">
        <v>2123</v>
      </c>
      <c r="E292" s="22" t="s">
        <v>513</v>
      </c>
    </row>
    <row r="293" spans="1:5" ht="31.5" x14ac:dyDescent="0.25">
      <c r="A293" s="22" t="s">
        <v>2124</v>
      </c>
      <c r="B293" s="22" t="s">
        <v>2125</v>
      </c>
      <c r="C293" s="22" t="s">
        <v>2126</v>
      </c>
      <c r="D293" s="22" t="s">
        <v>1817</v>
      </c>
      <c r="E293" s="22" t="s">
        <v>513</v>
      </c>
    </row>
    <row r="294" spans="1:5" ht="31.5" x14ac:dyDescent="0.25">
      <c r="A294" s="22" t="s">
        <v>2127</v>
      </c>
      <c r="B294" s="22" t="s">
        <v>2128</v>
      </c>
      <c r="C294" s="22" t="s">
        <v>2129</v>
      </c>
      <c r="D294" s="22" t="s">
        <v>2130</v>
      </c>
      <c r="E294" s="22" t="s">
        <v>513</v>
      </c>
    </row>
    <row r="295" spans="1:5" ht="31.5" x14ac:dyDescent="0.25">
      <c r="A295" s="22" t="s">
        <v>2131</v>
      </c>
      <c r="B295" s="22" t="s">
        <v>2132</v>
      </c>
      <c r="C295" s="22" t="s">
        <v>2133</v>
      </c>
      <c r="D295" s="22" t="s">
        <v>2134</v>
      </c>
      <c r="E295" s="22" t="s">
        <v>513</v>
      </c>
    </row>
    <row r="296" spans="1:5" ht="31.5" x14ac:dyDescent="0.25">
      <c r="A296" s="22" t="s">
        <v>2135</v>
      </c>
      <c r="B296" s="22" t="s">
        <v>2136</v>
      </c>
      <c r="C296" s="22" t="s">
        <v>2137</v>
      </c>
      <c r="D296" s="22" t="s">
        <v>2138</v>
      </c>
      <c r="E296" s="22" t="s">
        <v>513</v>
      </c>
    </row>
    <row r="297" spans="1:5" ht="31.5" x14ac:dyDescent="0.25">
      <c r="A297" s="22" t="s">
        <v>2139</v>
      </c>
      <c r="B297" s="22" t="s">
        <v>2140</v>
      </c>
      <c r="C297" s="22" t="s">
        <v>2141</v>
      </c>
      <c r="D297" s="22" t="s">
        <v>2142</v>
      </c>
      <c r="E297" s="22" t="s">
        <v>972</v>
      </c>
    </row>
    <row r="298" spans="1:5" ht="47.25" x14ac:dyDescent="0.25">
      <c r="A298" s="22" t="s">
        <v>2143</v>
      </c>
      <c r="B298" s="22" t="s">
        <v>2144</v>
      </c>
      <c r="C298" s="22" t="s">
        <v>2145</v>
      </c>
      <c r="D298" s="22" t="s">
        <v>2146</v>
      </c>
      <c r="E298" s="22" t="s">
        <v>513</v>
      </c>
    </row>
    <row r="299" spans="1:5" ht="31.5" x14ac:dyDescent="0.25">
      <c r="A299" s="22" t="s">
        <v>2147</v>
      </c>
      <c r="B299" s="22" t="s">
        <v>2148</v>
      </c>
      <c r="C299" s="22" t="s">
        <v>2149</v>
      </c>
      <c r="D299" s="22" t="s">
        <v>2150</v>
      </c>
      <c r="E299" s="22" t="s">
        <v>972</v>
      </c>
    </row>
    <row r="300" spans="1:5" ht="31.5" x14ac:dyDescent="0.25">
      <c r="A300" s="22" t="s">
        <v>2151</v>
      </c>
      <c r="B300" s="22" t="s">
        <v>2152</v>
      </c>
      <c r="C300" s="22" t="s">
        <v>2153</v>
      </c>
      <c r="D300" s="22" t="s">
        <v>2154</v>
      </c>
      <c r="E300" s="22" t="s">
        <v>972</v>
      </c>
    </row>
    <row r="301" spans="1:5" ht="31.5" x14ac:dyDescent="0.25">
      <c r="A301" s="22" t="s">
        <v>2155</v>
      </c>
      <c r="B301" s="22" t="s">
        <v>2156</v>
      </c>
      <c r="C301" s="22" t="s">
        <v>2157</v>
      </c>
      <c r="D301" s="22" t="s">
        <v>2158</v>
      </c>
      <c r="E301" s="22" t="s">
        <v>972</v>
      </c>
    </row>
    <row r="302" spans="1:5" ht="31.5" x14ac:dyDescent="0.25">
      <c r="A302" s="22" t="s">
        <v>2159</v>
      </c>
      <c r="B302" s="22" t="s">
        <v>2160</v>
      </c>
      <c r="C302" s="22" t="s">
        <v>2161</v>
      </c>
      <c r="D302" s="22" t="s">
        <v>1489</v>
      </c>
      <c r="E302" s="22" t="s">
        <v>972</v>
      </c>
    </row>
    <row r="303" spans="1:5" ht="31.5" x14ac:dyDescent="0.25">
      <c r="A303" s="22" t="s">
        <v>2162</v>
      </c>
      <c r="B303" s="22" t="s">
        <v>2163</v>
      </c>
      <c r="C303" s="22" t="s">
        <v>2164</v>
      </c>
      <c r="D303" s="22" t="s">
        <v>2165</v>
      </c>
      <c r="E303" s="22" t="s">
        <v>972</v>
      </c>
    </row>
    <row r="304" spans="1:5" ht="31.5" x14ac:dyDescent="0.25">
      <c r="A304" s="22" t="s">
        <v>2166</v>
      </c>
      <c r="B304" s="22" t="s">
        <v>2167</v>
      </c>
      <c r="C304" s="22" t="s">
        <v>2168</v>
      </c>
      <c r="D304" s="22" t="s">
        <v>1581</v>
      </c>
      <c r="E304" s="22" t="s">
        <v>972</v>
      </c>
    </row>
    <row r="305" spans="1:5" ht="31.5" x14ac:dyDescent="0.25">
      <c r="A305" s="22" t="s">
        <v>2169</v>
      </c>
      <c r="B305" s="22" t="s">
        <v>2170</v>
      </c>
      <c r="C305" s="22" t="s">
        <v>2171</v>
      </c>
      <c r="D305" s="22" t="s">
        <v>2172</v>
      </c>
      <c r="E305" s="22" t="s">
        <v>972</v>
      </c>
    </row>
    <row r="306" spans="1:5" x14ac:dyDescent="0.25">
      <c r="A306" s="22" t="s">
        <v>2173</v>
      </c>
      <c r="B306" s="22" t="s">
        <v>2174</v>
      </c>
      <c r="C306" s="22" t="s">
        <v>2175</v>
      </c>
      <c r="D306" s="22" t="s">
        <v>2068</v>
      </c>
      <c r="E306" s="22" t="s">
        <v>972</v>
      </c>
    </row>
    <row r="307" spans="1:5" ht="31.5" x14ac:dyDescent="0.25">
      <c r="A307" s="22" t="s">
        <v>2176</v>
      </c>
      <c r="B307" s="22" t="s">
        <v>2177</v>
      </c>
      <c r="C307" s="22" t="s">
        <v>2178</v>
      </c>
      <c r="D307" s="22" t="s">
        <v>2179</v>
      </c>
      <c r="E307" s="22" t="s">
        <v>972</v>
      </c>
    </row>
    <row r="308" spans="1:5" ht="31.5" x14ac:dyDescent="0.25">
      <c r="A308" s="22" t="s">
        <v>2180</v>
      </c>
      <c r="B308" s="22" t="s">
        <v>2181</v>
      </c>
      <c r="C308" s="22" t="s">
        <v>2182</v>
      </c>
      <c r="D308" s="22" t="s">
        <v>1149</v>
      </c>
      <c r="E308" s="22" t="s">
        <v>513</v>
      </c>
    </row>
    <row r="309" spans="1:5" ht="31.5" x14ac:dyDescent="0.25">
      <c r="A309" s="22" t="s">
        <v>2183</v>
      </c>
      <c r="B309" s="22" t="s">
        <v>2184</v>
      </c>
      <c r="C309" s="22" t="s">
        <v>2185</v>
      </c>
      <c r="D309" s="22" t="s">
        <v>1141</v>
      </c>
      <c r="E309" s="22" t="s">
        <v>972</v>
      </c>
    </row>
    <row r="310" spans="1:5" ht="47.25" x14ac:dyDescent="0.25">
      <c r="A310" s="22" t="s">
        <v>2186</v>
      </c>
      <c r="B310" s="22" t="s">
        <v>2187</v>
      </c>
      <c r="C310" s="22" t="s">
        <v>2188</v>
      </c>
      <c r="D310" s="22" t="s">
        <v>1706</v>
      </c>
      <c r="E310" s="22" t="s">
        <v>513</v>
      </c>
    </row>
    <row r="311" spans="1:5" ht="31.5" x14ac:dyDescent="0.25">
      <c r="A311" s="22" t="s">
        <v>2189</v>
      </c>
      <c r="B311" s="22" t="s">
        <v>2190</v>
      </c>
      <c r="C311" s="22" t="s">
        <v>2191</v>
      </c>
      <c r="D311" s="22" t="s">
        <v>2192</v>
      </c>
      <c r="E311" s="22" t="s">
        <v>513</v>
      </c>
    </row>
    <row r="312" spans="1:5" ht="31.5" x14ac:dyDescent="0.25">
      <c r="A312" s="22" t="s">
        <v>2193</v>
      </c>
      <c r="B312" s="22" t="s">
        <v>2194</v>
      </c>
      <c r="C312" s="22" t="s">
        <v>2195</v>
      </c>
      <c r="D312" s="22" t="s">
        <v>2196</v>
      </c>
      <c r="E312" s="22" t="s">
        <v>513</v>
      </c>
    </row>
    <row r="313" spans="1:5" ht="31.5" x14ac:dyDescent="0.25">
      <c r="A313" s="22" t="s">
        <v>2197</v>
      </c>
      <c r="B313" s="22" t="s">
        <v>2198</v>
      </c>
      <c r="C313" s="22" t="s">
        <v>2199</v>
      </c>
      <c r="D313" s="22" t="s">
        <v>2200</v>
      </c>
      <c r="E313" s="22" t="s">
        <v>972</v>
      </c>
    </row>
    <row r="314" spans="1:5" ht="31.5" x14ac:dyDescent="0.25">
      <c r="A314" s="22" t="s">
        <v>2201</v>
      </c>
      <c r="B314" s="22" t="s">
        <v>2202</v>
      </c>
      <c r="C314" s="22" t="s">
        <v>2203</v>
      </c>
      <c r="D314" s="22" t="s">
        <v>1149</v>
      </c>
      <c r="E314" s="22" t="s">
        <v>972</v>
      </c>
    </row>
    <row r="315" spans="1:5" ht="31.5" x14ac:dyDescent="0.25">
      <c r="A315" s="22" t="s">
        <v>2204</v>
      </c>
      <c r="B315" s="22" t="s">
        <v>2205</v>
      </c>
      <c r="C315" s="22" t="s">
        <v>2206</v>
      </c>
      <c r="D315" s="22" t="s">
        <v>2207</v>
      </c>
      <c r="E315" s="22" t="s">
        <v>463</v>
      </c>
    </row>
    <row r="316" spans="1:5" ht="31.5" x14ac:dyDescent="0.25">
      <c r="A316" s="22" t="s">
        <v>2208</v>
      </c>
      <c r="B316" s="22" t="s">
        <v>2209</v>
      </c>
      <c r="C316" s="22" t="s">
        <v>2210</v>
      </c>
      <c r="D316" s="22" t="s">
        <v>1149</v>
      </c>
      <c r="E316" s="22" t="s">
        <v>513</v>
      </c>
    </row>
    <row r="317" spans="1:5" ht="47.25" x14ac:dyDescent="0.25">
      <c r="A317" s="22" t="s">
        <v>2211</v>
      </c>
      <c r="B317" s="22" t="s">
        <v>2212</v>
      </c>
      <c r="C317" s="22" t="s">
        <v>2213</v>
      </c>
      <c r="D317" s="22" t="s">
        <v>1746</v>
      </c>
      <c r="E317" s="22" t="s">
        <v>513</v>
      </c>
    </row>
    <row r="318" spans="1:5" ht="31.5" x14ac:dyDescent="0.25">
      <c r="A318" s="22" t="s">
        <v>2214</v>
      </c>
      <c r="B318" s="22" t="s">
        <v>2215</v>
      </c>
      <c r="C318" s="22" t="s">
        <v>2216</v>
      </c>
      <c r="D318" s="22" t="s">
        <v>2217</v>
      </c>
      <c r="E318" s="22" t="s">
        <v>513</v>
      </c>
    </row>
    <row r="319" spans="1:5" ht="47.25" x14ac:dyDescent="0.25">
      <c r="A319" s="22" t="s">
        <v>2218</v>
      </c>
      <c r="B319" s="22" t="s">
        <v>2219</v>
      </c>
      <c r="C319" s="22" t="s">
        <v>2220</v>
      </c>
      <c r="D319" s="22" t="s">
        <v>2119</v>
      </c>
      <c r="E319" s="22" t="s">
        <v>513</v>
      </c>
    </row>
    <row r="320" spans="1:5" ht="31.5" x14ac:dyDescent="0.25">
      <c r="A320" s="22" t="s">
        <v>2221</v>
      </c>
      <c r="B320" s="22" t="s">
        <v>2222</v>
      </c>
      <c r="C320" s="22" t="s">
        <v>2223</v>
      </c>
      <c r="D320" s="22" t="s">
        <v>2224</v>
      </c>
      <c r="E320" s="22" t="s">
        <v>972</v>
      </c>
    </row>
    <row r="321" spans="1:5" ht="47.25" x14ac:dyDescent="0.25">
      <c r="A321" s="22" t="s">
        <v>2225</v>
      </c>
      <c r="B321" s="22" t="s">
        <v>2226</v>
      </c>
      <c r="C321" s="22" t="s">
        <v>2227</v>
      </c>
      <c r="D321" s="22" t="s">
        <v>2228</v>
      </c>
      <c r="E321" s="22" t="s">
        <v>513</v>
      </c>
    </row>
    <row r="322" spans="1:5" ht="31.5" x14ac:dyDescent="0.25">
      <c r="A322" s="22" t="s">
        <v>2229</v>
      </c>
      <c r="B322" s="22" t="s">
        <v>1128</v>
      </c>
      <c r="C322" s="22" t="s">
        <v>2230</v>
      </c>
      <c r="D322" s="22" t="s">
        <v>1128</v>
      </c>
      <c r="E322" s="22" t="s">
        <v>513</v>
      </c>
    </row>
    <row r="323" spans="1:5" ht="31.5" x14ac:dyDescent="0.25">
      <c r="A323" s="22" t="s">
        <v>2231</v>
      </c>
      <c r="B323" s="22" t="s">
        <v>2232</v>
      </c>
      <c r="C323" s="22" t="s">
        <v>2233</v>
      </c>
      <c r="D323" s="22" t="s">
        <v>2234</v>
      </c>
      <c r="E323" s="22" t="s">
        <v>513</v>
      </c>
    </row>
    <row r="324" spans="1:5" ht="31.5" x14ac:dyDescent="0.25">
      <c r="A324" s="22" t="s">
        <v>2235</v>
      </c>
      <c r="B324" s="22" t="s">
        <v>2236</v>
      </c>
      <c r="C324" s="22" t="s">
        <v>2237</v>
      </c>
      <c r="D324" s="22" t="s">
        <v>2238</v>
      </c>
      <c r="E324" s="22" t="s">
        <v>513</v>
      </c>
    </row>
    <row r="325" spans="1:5" ht="31.5" x14ac:dyDescent="0.25">
      <c r="A325" s="22" t="s">
        <v>2239</v>
      </c>
      <c r="B325" s="22" t="s">
        <v>2240</v>
      </c>
      <c r="C325" s="22" t="s">
        <v>2241</v>
      </c>
      <c r="D325" s="22" t="s">
        <v>2242</v>
      </c>
      <c r="E325" s="22" t="s">
        <v>513</v>
      </c>
    </row>
    <row r="326" spans="1:5" ht="47.25" x14ac:dyDescent="0.25">
      <c r="A326" s="22" t="s">
        <v>2243</v>
      </c>
      <c r="B326" s="22" t="s">
        <v>1126</v>
      </c>
      <c r="C326" s="22" t="s">
        <v>2244</v>
      </c>
      <c r="D326" s="22" t="s">
        <v>2245</v>
      </c>
      <c r="E326" s="22" t="s">
        <v>513</v>
      </c>
    </row>
    <row r="327" spans="1:5" ht="31.5" x14ac:dyDescent="0.25">
      <c r="A327" s="22" t="s">
        <v>2246</v>
      </c>
      <c r="B327" s="22" t="s">
        <v>2247</v>
      </c>
      <c r="C327" s="22" t="s">
        <v>2248</v>
      </c>
      <c r="D327" s="22" t="s">
        <v>2249</v>
      </c>
      <c r="E327" s="22" t="s">
        <v>513</v>
      </c>
    </row>
    <row r="328" spans="1:5" ht="47.25" x14ac:dyDescent="0.25">
      <c r="A328" s="22" t="s">
        <v>2250</v>
      </c>
      <c r="B328" s="22" t="s">
        <v>2251</v>
      </c>
      <c r="C328" s="22" t="s">
        <v>2252</v>
      </c>
      <c r="D328" s="22" t="s">
        <v>2253</v>
      </c>
      <c r="E328" s="22" t="s">
        <v>513</v>
      </c>
    </row>
    <row r="329" spans="1:5" ht="31.5" x14ac:dyDescent="0.25">
      <c r="A329" s="22" t="s">
        <v>2254</v>
      </c>
      <c r="B329" s="22" t="s">
        <v>2255</v>
      </c>
      <c r="C329" s="22" t="s">
        <v>2256</v>
      </c>
      <c r="D329" s="22" t="s">
        <v>2257</v>
      </c>
      <c r="E329" s="22" t="s">
        <v>513</v>
      </c>
    </row>
    <row r="330" spans="1:5" ht="31.5" x14ac:dyDescent="0.25">
      <c r="A330" s="22" t="s">
        <v>2258</v>
      </c>
      <c r="B330" s="22" t="s">
        <v>2259</v>
      </c>
      <c r="C330" s="22" t="s">
        <v>2260</v>
      </c>
      <c r="D330" s="22" t="s">
        <v>2261</v>
      </c>
      <c r="E330" s="22" t="s">
        <v>513</v>
      </c>
    </row>
    <row r="331" spans="1:5" ht="31.5" x14ac:dyDescent="0.25">
      <c r="A331" s="22" t="s">
        <v>2262</v>
      </c>
      <c r="B331" s="22" t="s">
        <v>2263</v>
      </c>
      <c r="C331" s="22" t="s">
        <v>2264</v>
      </c>
      <c r="D331" s="22" t="s">
        <v>2265</v>
      </c>
      <c r="E331" s="22" t="s">
        <v>513</v>
      </c>
    </row>
    <row r="332" spans="1:5" ht="31.5" x14ac:dyDescent="0.25">
      <c r="A332" s="22" t="s">
        <v>2266</v>
      </c>
      <c r="B332" s="22" t="s">
        <v>2267</v>
      </c>
      <c r="C332" s="22" t="s">
        <v>2268</v>
      </c>
      <c r="D332" s="22" t="s">
        <v>1128</v>
      </c>
      <c r="E332" s="22" t="s">
        <v>513</v>
      </c>
    </row>
    <row r="333" spans="1:5" ht="31.5" x14ac:dyDescent="0.25">
      <c r="A333" s="22" t="s">
        <v>2269</v>
      </c>
      <c r="B333" s="22" t="s">
        <v>2270</v>
      </c>
      <c r="C333" s="22" t="s">
        <v>2271</v>
      </c>
      <c r="D333" s="22" t="s">
        <v>1128</v>
      </c>
      <c r="E333" s="22" t="s">
        <v>513</v>
      </c>
    </row>
    <row r="334" spans="1:5" ht="31.5" x14ac:dyDescent="0.25">
      <c r="A334" s="22" t="s">
        <v>2272</v>
      </c>
      <c r="B334" s="22" t="s">
        <v>2273</v>
      </c>
      <c r="C334" s="22" t="s">
        <v>2274</v>
      </c>
      <c r="D334" s="22" t="s">
        <v>1838</v>
      </c>
      <c r="E334" s="22" t="s">
        <v>972</v>
      </c>
    </row>
    <row r="335" spans="1:5" ht="31.5" x14ac:dyDescent="0.25">
      <c r="A335" s="22" t="s">
        <v>2275</v>
      </c>
      <c r="B335" s="22" t="s">
        <v>2276</v>
      </c>
      <c r="C335" s="22" t="s">
        <v>2277</v>
      </c>
      <c r="D335" s="22" t="s">
        <v>2278</v>
      </c>
      <c r="E335" s="22" t="s">
        <v>513</v>
      </c>
    </row>
    <row r="336" spans="1:5" ht="31.5" x14ac:dyDescent="0.25">
      <c r="A336" s="22" t="s">
        <v>2279</v>
      </c>
      <c r="B336" s="22" t="s">
        <v>1174</v>
      </c>
      <c r="C336" s="22" t="s">
        <v>2280</v>
      </c>
      <c r="D336" s="22" t="s">
        <v>2053</v>
      </c>
      <c r="E336" s="22" t="s">
        <v>513</v>
      </c>
    </row>
    <row r="337" spans="1:5" x14ac:dyDescent="0.25">
      <c r="A337" s="22" t="s">
        <v>2281</v>
      </c>
      <c r="B337" s="22" t="s">
        <v>2282</v>
      </c>
      <c r="C337" s="22" t="s">
        <v>2283</v>
      </c>
      <c r="D337" s="22" t="s">
        <v>1650</v>
      </c>
      <c r="E337" s="22" t="s">
        <v>513</v>
      </c>
    </row>
    <row r="338" spans="1:5" x14ac:dyDescent="0.25">
      <c r="A338" s="22" t="s">
        <v>2284</v>
      </c>
      <c r="B338" s="22" t="s">
        <v>2285</v>
      </c>
      <c r="C338" s="22" t="s">
        <v>2286</v>
      </c>
      <c r="D338" s="22" t="s">
        <v>1650</v>
      </c>
      <c r="E338" s="22" t="s">
        <v>513</v>
      </c>
    </row>
    <row r="339" spans="1:5" x14ac:dyDescent="0.25">
      <c r="A339" s="22" t="s">
        <v>2287</v>
      </c>
      <c r="B339" s="22" t="s">
        <v>2288</v>
      </c>
      <c r="C339" s="22" t="s">
        <v>2289</v>
      </c>
      <c r="D339" s="22" t="s">
        <v>1650</v>
      </c>
      <c r="E339" s="22" t="s">
        <v>513</v>
      </c>
    </row>
    <row r="340" spans="1:5" x14ac:dyDescent="0.25">
      <c r="A340" s="22" t="s">
        <v>2290</v>
      </c>
      <c r="B340" s="22" t="s">
        <v>2291</v>
      </c>
      <c r="C340" s="22" t="s">
        <v>2292</v>
      </c>
      <c r="D340" s="22" t="s">
        <v>1650</v>
      </c>
      <c r="E340" s="22" t="s">
        <v>513</v>
      </c>
    </row>
    <row r="341" spans="1:5" x14ac:dyDescent="0.25">
      <c r="A341" s="22" t="s">
        <v>2293</v>
      </c>
      <c r="B341" s="22" t="s">
        <v>2294</v>
      </c>
      <c r="C341" s="22" t="s">
        <v>2295</v>
      </c>
      <c r="D341" s="22" t="s">
        <v>1650</v>
      </c>
      <c r="E341" s="22" t="s">
        <v>513</v>
      </c>
    </row>
    <row r="342" spans="1:5" ht="31.5" x14ac:dyDescent="0.25">
      <c r="A342" s="22" t="s">
        <v>2296</v>
      </c>
      <c r="B342" s="22" t="s">
        <v>2297</v>
      </c>
      <c r="C342" s="22" t="s">
        <v>2298</v>
      </c>
      <c r="D342" s="22" t="s">
        <v>2299</v>
      </c>
      <c r="E342" s="22" t="s">
        <v>513</v>
      </c>
    </row>
    <row r="343" spans="1:5" ht="31.5" x14ac:dyDescent="0.25">
      <c r="A343" s="22" t="s">
        <v>2300</v>
      </c>
      <c r="B343" s="22" t="s">
        <v>2301</v>
      </c>
      <c r="C343" s="22" t="s">
        <v>2302</v>
      </c>
      <c r="D343" s="22" t="s">
        <v>1128</v>
      </c>
      <c r="E343" s="22" t="s">
        <v>513</v>
      </c>
    </row>
    <row r="344" spans="1:5" ht="47.25" x14ac:dyDescent="0.25">
      <c r="A344" s="22" t="s">
        <v>2303</v>
      </c>
      <c r="B344" s="22" t="s">
        <v>2304</v>
      </c>
      <c r="C344" s="22" t="s">
        <v>2305</v>
      </c>
      <c r="D344" s="22" t="s">
        <v>2306</v>
      </c>
      <c r="E344" s="22" t="s">
        <v>972</v>
      </c>
    </row>
    <row r="345" spans="1:5" x14ac:dyDescent="0.25">
      <c r="A345" s="22" t="s">
        <v>2307</v>
      </c>
      <c r="B345" s="22" t="s">
        <v>1462</v>
      </c>
      <c r="C345" s="22" t="s">
        <v>2308</v>
      </c>
      <c r="D345" s="22" t="s">
        <v>1464</v>
      </c>
      <c r="E345" s="22" t="s">
        <v>513</v>
      </c>
    </row>
    <row r="346" spans="1:5" x14ac:dyDescent="0.25">
      <c r="A346" s="22" t="s">
        <v>2309</v>
      </c>
      <c r="B346" s="22" t="s">
        <v>2310</v>
      </c>
      <c r="C346" s="22" t="s">
        <v>2311</v>
      </c>
      <c r="D346" s="22" t="s">
        <v>1429</v>
      </c>
      <c r="E346" s="22" t="s">
        <v>513</v>
      </c>
    </row>
    <row r="347" spans="1:5" ht="31.5" x14ac:dyDescent="0.25">
      <c r="A347" s="22" t="s">
        <v>2312</v>
      </c>
      <c r="B347" s="22" t="s">
        <v>2313</v>
      </c>
      <c r="C347" s="22" t="s">
        <v>2314</v>
      </c>
      <c r="D347" s="22" t="s">
        <v>2315</v>
      </c>
      <c r="E347" s="22" t="s">
        <v>513</v>
      </c>
    </row>
    <row r="348" spans="1:5" ht="31.5" x14ac:dyDescent="0.25">
      <c r="A348" s="22" t="s">
        <v>2316</v>
      </c>
      <c r="B348" s="22" t="s">
        <v>2317</v>
      </c>
      <c r="C348" s="22" t="s">
        <v>2318</v>
      </c>
      <c r="D348" s="22" t="s">
        <v>2319</v>
      </c>
      <c r="E348" s="22" t="s">
        <v>513</v>
      </c>
    </row>
    <row r="349" spans="1:5" ht="32.25" x14ac:dyDescent="0.25">
      <c r="A349" s="22" t="s">
        <v>2320</v>
      </c>
      <c r="B349" s="22" t="s">
        <v>2321</v>
      </c>
      <c r="C349" s="22" t="s">
        <v>2322</v>
      </c>
      <c r="D349" s="22" t="s">
        <v>2323</v>
      </c>
      <c r="E349" s="22" t="s">
        <v>513</v>
      </c>
    </row>
    <row r="350" spans="1:5" ht="32.25" x14ac:dyDescent="0.25">
      <c r="A350" s="22" t="s">
        <v>2324</v>
      </c>
      <c r="B350" s="22" t="s">
        <v>2325</v>
      </c>
      <c r="C350" s="22" t="s">
        <v>2326</v>
      </c>
      <c r="D350" s="22" t="s">
        <v>2327</v>
      </c>
      <c r="E350" s="22" t="s">
        <v>513</v>
      </c>
    </row>
    <row r="351" spans="1:5" ht="16.5" x14ac:dyDescent="0.25">
      <c r="A351" s="22" t="s">
        <v>2328</v>
      </c>
      <c r="B351" s="22" t="s">
        <v>2329</v>
      </c>
      <c r="C351" s="22" t="s">
        <v>2330</v>
      </c>
      <c r="D351" s="22" t="s">
        <v>2331</v>
      </c>
      <c r="E351" s="22" t="s">
        <v>513</v>
      </c>
    </row>
    <row r="352" spans="1:5" ht="31.5" x14ac:dyDescent="0.25">
      <c r="A352" s="22" t="s">
        <v>2332</v>
      </c>
      <c r="B352" s="22" t="s">
        <v>2333</v>
      </c>
      <c r="C352" s="22" t="s">
        <v>2334</v>
      </c>
      <c r="D352" s="22" t="s">
        <v>2335</v>
      </c>
      <c r="E352" s="22" t="s">
        <v>513</v>
      </c>
    </row>
    <row r="353" spans="1:5" ht="47.25" x14ac:dyDescent="0.25">
      <c r="A353" s="22" t="s">
        <v>2336</v>
      </c>
      <c r="B353" s="22" t="s">
        <v>2337</v>
      </c>
      <c r="C353" s="22" t="s">
        <v>2338</v>
      </c>
      <c r="D353" s="22" t="s">
        <v>2339</v>
      </c>
      <c r="E353" s="22" t="s">
        <v>513</v>
      </c>
    </row>
    <row r="354" spans="1:5" ht="31.5" x14ac:dyDescent="0.25">
      <c r="A354" s="22" t="s">
        <v>2340</v>
      </c>
      <c r="B354" s="22" t="s">
        <v>2341</v>
      </c>
      <c r="C354" s="22" t="s">
        <v>2342</v>
      </c>
      <c r="D354" s="22" t="s">
        <v>2343</v>
      </c>
      <c r="E354" s="22" t="s">
        <v>513</v>
      </c>
    </row>
    <row r="355" spans="1:5" x14ac:dyDescent="0.25">
      <c r="A355" s="22" t="s">
        <v>2344</v>
      </c>
      <c r="B355" s="22" t="s">
        <v>1612</v>
      </c>
      <c r="C355" s="22" t="s">
        <v>2345</v>
      </c>
      <c r="D355" s="22" t="s">
        <v>1876</v>
      </c>
      <c r="E355" s="22" t="s">
        <v>513</v>
      </c>
    </row>
    <row r="356" spans="1:5" ht="31.5" x14ac:dyDescent="0.25">
      <c r="A356" s="22" t="s">
        <v>2346</v>
      </c>
      <c r="B356" s="22" t="s">
        <v>2347</v>
      </c>
      <c r="C356" s="22" t="s">
        <v>2348</v>
      </c>
      <c r="D356" s="22" t="s">
        <v>2349</v>
      </c>
      <c r="E356" s="22" t="s">
        <v>513</v>
      </c>
    </row>
    <row r="357" spans="1:5" ht="31.5" x14ac:dyDescent="0.25">
      <c r="A357" s="22" t="s">
        <v>2350</v>
      </c>
      <c r="B357" s="22" t="s">
        <v>2351</v>
      </c>
      <c r="C357" s="22" t="s">
        <v>2352</v>
      </c>
      <c r="D357" s="22" t="s">
        <v>2353</v>
      </c>
      <c r="E357" s="22" t="s">
        <v>513</v>
      </c>
    </row>
    <row r="358" spans="1:5" x14ac:dyDescent="0.25">
      <c r="A358" s="22" t="s">
        <v>2354</v>
      </c>
      <c r="B358" s="22" t="s">
        <v>847</v>
      </c>
      <c r="C358" s="22" t="s">
        <v>2355</v>
      </c>
      <c r="D358" s="22" t="s">
        <v>2356</v>
      </c>
      <c r="E358" s="22" t="s">
        <v>513</v>
      </c>
    </row>
    <row r="359" spans="1:5" x14ac:dyDescent="0.25">
      <c r="A359" s="22" t="s">
        <v>2357</v>
      </c>
      <c r="B359" s="22" t="s">
        <v>844</v>
      </c>
      <c r="C359" s="22" t="s">
        <v>2358</v>
      </c>
      <c r="D359" s="22" t="s">
        <v>842</v>
      </c>
      <c r="E359" s="22" t="s">
        <v>513</v>
      </c>
    </row>
    <row r="360" spans="1:5" ht="31.5" x14ac:dyDescent="0.25">
      <c r="A360" s="22" t="s">
        <v>2359</v>
      </c>
      <c r="B360" s="22" t="s">
        <v>84</v>
      </c>
      <c r="C360" s="22" t="s">
        <v>2360</v>
      </c>
      <c r="D360" s="22" t="s">
        <v>2361</v>
      </c>
      <c r="E360" s="22" t="s">
        <v>513</v>
      </c>
    </row>
    <row r="361" spans="1:5" x14ac:dyDescent="0.25">
      <c r="A361" s="22" t="s">
        <v>2362</v>
      </c>
      <c r="B361" s="22" t="s">
        <v>2363</v>
      </c>
      <c r="C361" s="22" t="s">
        <v>2364</v>
      </c>
      <c r="D361" s="22" t="s">
        <v>1399</v>
      </c>
      <c r="E361" s="22" t="s">
        <v>513</v>
      </c>
    </row>
    <row r="362" spans="1:5" ht="31.5" x14ac:dyDescent="0.25">
      <c r="A362" s="22" t="s">
        <v>2365</v>
      </c>
      <c r="B362" s="22" t="s">
        <v>1424</v>
      </c>
      <c r="C362" s="22" t="s">
        <v>2366</v>
      </c>
      <c r="D362" s="22" t="s">
        <v>2367</v>
      </c>
      <c r="E362" s="22" t="s">
        <v>513</v>
      </c>
    </row>
    <row r="363" spans="1:5" ht="31.5" x14ac:dyDescent="0.25">
      <c r="A363" s="22" t="s">
        <v>2368</v>
      </c>
      <c r="B363" s="22" t="s">
        <v>2369</v>
      </c>
      <c r="C363" s="22" t="s">
        <v>2370</v>
      </c>
      <c r="D363" s="22" t="s">
        <v>2371</v>
      </c>
      <c r="E363" s="22" t="s">
        <v>513</v>
      </c>
    </row>
    <row r="364" spans="1:5" ht="31.5" x14ac:dyDescent="0.25">
      <c r="A364" s="22" t="s">
        <v>2372</v>
      </c>
      <c r="B364" s="22" t="s">
        <v>2373</v>
      </c>
      <c r="C364" s="22" t="s">
        <v>2374</v>
      </c>
      <c r="D364" s="22" t="s">
        <v>2375</v>
      </c>
      <c r="E364" s="22" t="s">
        <v>513</v>
      </c>
    </row>
    <row r="365" spans="1:5" ht="31.5" x14ac:dyDescent="0.25">
      <c r="A365" s="22" t="s">
        <v>2376</v>
      </c>
      <c r="B365" s="22" t="s">
        <v>2377</v>
      </c>
      <c r="C365" s="22" t="s">
        <v>2378</v>
      </c>
      <c r="D365" s="22" t="s">
        <v>2261</v>
      </c>
      <c r="E365" s="22" t="s">
        <v>513</v>
      </c>
    </row>
    <row r="366" spans="1:5" ht="31.5" x14ac:dyDescent="0.25">
      <c r="A366" s="22" t="s">
        <v>2379</v>
      </c>
      <c r="B366" s="22" t="s">
        <v>2380</v>
      </c>
      <c r="C366" s="22" t="s">
        <v>2381</v>
      </c>
      <c r="D366" s="22" t="s">
        <v>2382</v>
      </c>
      <c r="E366" s="22" t="s">
        <v>513</v>
      </c>
    </row>
    <row r="367" spans="1:5" ht="16.5" x14ac:dyDescent="0.25">
      <c r="A367" s="22" t="s">
        <v>2383</v>
      </c>
      <c r="B367" s="22" t="s">
        <v>2384</v>
      </c>
      <c r="C367" s="22" t="s">
        <v>2385</v>
      </c>
      <c r="D367" s="22" t="s">
        <v>1699</v>
      </c>
      <c r="E367" s="22" t="s">
        <v>513</v>
      </c>
    </row>
    <row r="368" spans="1:5" ht="31.5" x14ac:dyDescent="0.25">
      <c r="A368" s="22" t="s">
        <v>2386</v>
      </c>
      <c r="B368" s="22" t="s">
        <v>2387</v>
      </c>
      <c r="C368" s="22" t="s">
        <v>2388</v>
      </c>
      <c r="D368" s="22" t="s">
        <v>1673</v>
      </c>
      <c r="E368" s="22" t="s">
        <v>513</v>
      </c>
    </row>
    <row r="369" spans="1:5" ht="31.5" x14ac:dyDescent="0.25">
      <c r="A369" s="22" t="s">
        <v>2389</v>
      </c>
      <c r="B369" s="22" t="s">
        <v>2390</v>
      </c>
      <c r="C369" s="22" t="s">
        <v>2391</v>
      </c>
      <c r="D369" s="22" t="s">
        <v>2098</v>
      </c>
      <c r="E369" s="22" t="s">
        <v>972</v>
      </c>
    </row>
    <row r="370" spans="1:5" x14ac:dyDescent="0.25">
      <c r="A370" s="22" t="s">
        <v>2392</v>
      </c>
      <c r="B370" s="22" t="s">
        <v>2393</v>
      </c>
      <c r="C370" s="22" t="s">
        <v>2394</v>
      </c>
      <c r="D370" s="22" t="s">
        <v>2395</v>
      </c>
      <c r="E370" s="22" t="s">
        <v>513</v>
      </c>
    </row>
    <row r="371" spans="1:5" ht="31.5" x14ac:dyDescent="0.25">
      <c r="A371" s="22" t="s">
        <v>2396</v>
      </c>
      <c r="B371" s="22" t="s">
        <v>2397</v>
      </c>
      <c r="C371" s="22" t="s">
        <v>2398</v>
      </c>
      <c r="D371" s="22" t="s">
        <v>2399</v>
      </c>
      <c r="E371" s="22" t="s">
        <v>513</v>
      </c>
    </row>
    <row r="372" spans="1:5" ht="31.5" x14ac:dyDescent="0.25">
      <c r="A372" s="22" t="s">
        <v>2400</v>
      </c>
      <c r="B372" s="22" t="s">
        <v>2401</v>
      </c>
      <c r="C372" s="22" t="s">
        <v>2402</v>
      </c>
      <c r="D372" s="22" t="s">
        <v>2403</v>
      </c>
      <c r="E372" s="22" t="s">
        <v>513</v>
      </c>
    </row>
    <row r="373" spans="1:5" ht="31.5" x14ac:dyDescent="0.25">
      <c r="A373" s="22" t="s">
        <v>2404</v>
      </c>
      <c r="B373" s="22" t="s">
        <v>2405</v>
      </c>
      <c r="C373" s="22" t="s">
        <v>2406</v>
      </c>
      <c r="D373" s="22" t="s">
        <v>2407</v>
      </c>
      <c r="E373" s="22" t="s">
        <v>972</v>
      </c>
    </row>
    <row r="374" spans="1:5" x14ac:dyDescent="0.25">
      <c r="A374" s="22" t="s">
        <v>2408</v>
      </c>
      <c r="B374" s="22" t="s">
        <v>2409</v>
      </c>
      <c r="C374" s="22" t="s">
        <v>2410</v>
      </c>
      <c r="D374" s="22" t="s">
        <v>2411</v>
      </c>
      <c r="E374" s="22" t="s">
        <v>513</v>
      </c>
    </row>
    <row r="375" spans="1:5" ht="31.5" x14ac:dyDescent="0.25">
      <c r="A375" s="22" t="s">
        <v>2412</v>
      </c>
      <c r="B375" s="22" t="s">
        <v>2413</v>
      </c>
      <c r="C375" s="22" t="s">
        <v>2414</v>
      </c>
      <c r="D375" s="22" t="s">
        <v>2415</v>
      </c>
      <c r="E375" s="22" t="s">
        <v>513</v>
      </c>
    </row>
    <row r="376" spans="1:5" ht="31.5" x14ac:dyDescent="0.25">
      <c r="A376" s="22" t="s">
        <v>2416</v>
      </c>
      <c r="B376" s="22" t="s">
        <v>2417</v>
      </c>
      <c r="C376" s="22" t="s">
        <v>2418</v>
      </c>
      <c r="D376" s="22" t="s">
        <v>2005</v>
      </c>
      <c r="E376" s="22" t="s">
        <v>513</v>
      </c>
    </row>
    <row r="377" spans="1:5" ht="31.5" x14ac:dyDescent="0.25">
      <c r="A377" s="22" t="s">
        <v>2419</v>
      </c>
      <c r="B377" s="22" t="s">
        <v>2420</v>
      </c>
      <c r="C377" s="22" t="s">
        <v>2421</v>
      </c>
      <c r="D377" s="22" t="s">
        <v>1636</v>
      </c>
      <c r="E377" s="22" t="s">
        <v>513</v>
      </c>
    </row>
    <row r="378" spans="1:5" ht="31.5" x14ac:dyDescent="0.25">
      <c r="A378" s="22" t="s">
        <v>2422</v>
      </c>
      <c r="B378" s="22" t="s">
        <v>2081</v>
      </c>
      <c r="C378" s="22" t="s">
        <v>2423</v>
      </c>
      <c r="D378" s="22" t="s">
        <v>1141</v>
      </c>
      <c r="E378" s="22" t="s">
        <v>513</v>
      </c>
    </row>
    <row r="379" spans="1:5" ht="32.25" x14ac:dyDescent="0.25">
      <c r="A379" s="22" t="s">
        <v>2424</v>
      </c>
      <c r="B379" s="22" t="s">
        <v>2425</v>
      </c>
      <c r="C379" s="57" t="s">
        <v>2426</v>
      </c>
      <c r="D379" s="22" t="s">
        <v>991</v>
      </c>
      <c r="E379" s="22" t="s">
        <v>513</v>
      </c>
    </row>
    <row r="380" spans="1:5" ht="32.25" x14ac:dyDescent="0.25">
      <c r="A380" s="22" t="s">
        <v>2427</v>
      </c>
      <c r="B380" s="22" t="s">
        <v>2428</v>
      </c>
      <c r="C380" s="57" t="s">
        <v>2429</v>
      </c>
      <c r="D380" s="22" t="s">
        <v>334</v>
      </c>
      <c r="E380" s="22" t="s">
        <v>513</v>
      </c>
    </row>
    <row r="381" spans="1:5" ht="31.5" x14ac:dyDescent="0.25">
      <c r="A381" s="22" t="s">
        <v>2430</v>
      </c>
      <c r="B381" s="22" t="s">
        <v>2431</v>
      </c>
      <c r="C381" s="22" t="s">
        <v>2432</v>
      </c>
      <c r="D381" s="22" t="s">
        <v>991</v>
      </c>
      <c r="E381" s="22" t="s">
        <v>513</v>
      </c>
    </row>
    <row r="382" spans="1:5" ht="31.5" x14ac:dyDescent="0.25">
      <c r="A382" s="22" t="s">
        <v>2433</v>
      </c>
      <c r="B382" s="22" t="s">
        <v>2434</v>
      </c>
      <c r="C382" s="22" t="s">
        <v>2435</v>
      </c>
      <c r="D382" s="22" t="s">
        <v>334</v>
      </c>
      <c r="E382" s="22" t="s">
        <v>513</v>
      </c>
    </row>
    <row r="383" spans="1:5" ht="32.25" x14ac:dyDescent="0.25">
      <c r="A383" s="22" t="s">
        <v>2436</v>
      </c>
      <c r="B383" s="22" t="s">
        <v>1554</v>
      </c>
      <c r="C383" s="57" t="s">
        <v>2437</v>
      </c>
      <c r="D383" s="22" t="s">
        <v>1556</v>
      </c>
      <c r="E383" s="22" t="s">
        <v>513</v>
      </c>
    </row>
    <row r="384" spans="1:5" ht="32.25" x14ac:dyDescent="0.25">
      <c r="A384" s="22" t="s">
        <v>2438</v>
      </c>
      <c r="B384" s="22" t="s">
        <v>2439</v>
      </c>
      <c r="C384" s="22" t="s">
        <v>2440</v>
      </c>
      <c r="D384" s="22" t="s">
        <v>343</v>
      </c>
      <c r="E384" s="22" t="s">
        <v>513</v>
      </c>
    </row>
    <row r="385" spans="1:5" ht="31.5" x14ac:dyDescent="0.25">
      <c r="A385" s="22" t="s">
        <v>2441</v>
      </c>
      <c r="B385" s="22" t="s">
        <v>351</v>
      </c>
      <c r="C385" s="22" t="s">
        <v>2442</v>
      </c>
      <c r="D385" s="22" t="s">
        <v>1549</v>
      </c>
      <c r="E385" s="22" t="s">
        <v>513</v>
      </c>
    </row>
    <row r="386" spans="1:5" ht="31.5" x14ac:dyDescent="0.25">
      <c r="A386" s="22" t="s">
        <v>2443</v>
      </c>
      <c r="B386" s="22" t="s">
        <v>2444</v>
      </c>
      <c r="C386" s="22" t="s">
        <v>2445</v>
      </c>
      <c r="D386" s="22" t="s">
        <v>803</v>
      </c>
      <c r="E386" s="22" t="s">
        <v>513</v>
      </c>
    </row>
    <row r="387" spans="1:5" ht="16.5" x14ac:dyDescent="0.25">
      <c r="A387" s="22" t="s">
        <v>2446</v>
      </c>
      <c r="B387" s="22" t="s">
        <v>2447</v>
      </c>
      <c r="C387" s="57" t="s">
        <v>2448</v>
      </c>
      <c r="D387" s="22" t="s">
        <v>2449</v>
      </c>
      <c r="E387" s="22" t="s">
        <v>513</v>
      </c>
    </row>
    <row r="388" spans="1:5" ht="32.25" x14ac:dyDescent="0.25">
      <c r="A388" s="22" t="s">
        <v>2450</v>
      </c>
      <c r="B388" s="22" t="s">
        <v>2451</v>
      </c>
      <c r="C388" s="57" t="s">
        <v>2452</v>
      </c>
      <c r="D388" s="22" t="s">
        <v>348</v>
      </c>
      <c r="E388" s="22" t="s">
        <v>513</v>
      </c>
    </row>
    <row r="389" spans="1:5" ht="32.25" x14ac:dyDescent="0.25">
      <c r="A389" s="22" t="s">
        <v>2453</v>
      </c>
      <c r="B389" s="22" t="s">
        <v>2454</v>
      </c>
      <c r="C389" s="22" t="s">
        <v>2455</v>
      </c>
      <c r="D389" s="22" t="s">
        <v>2456</v>
      </c>
      <c r="E389" s="22" t="s">
        <v>513</v>
      </c>
    </row>
    <row r="390" spans="1:5" ht="31.5" x14ac:dyDescent="0.25">
      <c r="A390" s="22" t="s">
        <v>2457</v>
      </c>
      <c r="B390" s="22" t="s">
        <v>2458</v>
      </c>
      <c r="C390" s="22" t="s">
        <v>2459</v>
      </c>
      <c r="D390" s="22" t="s">
        <v>2460</v>
      </c>
      <c r="E390" s="22" t="s">
        <v>513</v>
      </c>
    </row>
    <row r="391" spans="1:5" ht="31.5" x14ac:dyDescent="0.25">
      <c r="A391" s="22" t="s">
        <v>2461</v>
      </c>
      <c r="B391" s="22" t="s">
        <v>794</v>
      </c>
      <c r="C391" s="22" t="s">
        <v>2462</v>
      </c>
      <c r="D391" s="22" t="s">
        <v>2463</v>
      </c>
      <c r="E391" s="22" t="s">
        <v>513</v>
      </c>
    </row>
    <row r="392" spans="1:5" ht="31.5" x14ac:dyDescent="0.25">
      <c r="A392" s="22" t="s">
        <v>2464</v>
      </c>
      <c r="B392" s="22" t="s">
        <v>2465</v>
      </c>
      <c r="C392" s="22" t="s">
        <v>2466</v>
      </c>
      <c r="D392" s="22" t="s">
        <v>793</v>
      </c>
      <c r="E392" s="22" t="s">
        <v>972</v>
      </c>
    </row>
    <row r="393" spans="1:5" ht="31.5" x14ac:dyDescent="0.25">
      <c r="A393" s="22" t="s">
        <v>2467</v>
      </c>
      <c r="B393" s="22" t="s">
        <v>2468</v>
      </c>
      <c r="C393" s="22" t="s">
        <v>2469</v>
      </c>
      <c r="D393" s="22" t="s">
        <v>796</v>
      </c>
      <c r="E393" s="22" t="s">
        <v>513</v>
      </c>
    </row>
    <row r="394" spans="1:5" ht="31.5" x14ac:dyDescent="0.25">
      <c r="A394" s="22" t="s">
        <v>2470</v>
      </c>
      <c r="B394" s="22" t="s">
        <v>2471</v>
      </c>
      <c r="C394" s="22" t="s">
        <v>2472</v>
      </c>
      <c r="D394" s="22" t="s">
        <v>830</v>
      </c>
      <c r="E394" s="22" t="s">
        <v>513</v>
      </c>
    </row>
    <row r="395" spans="1:5" ht="31.5" x14ac:dyDescent="0.25">
      <c r="A395" s="22" t="s">
        <v>2473</v>
      </c>
      <c r="B395" s="22" t="s">
        <v>907</v>
      </c>
      <c r="C395" s="22" t="s">
        <v>2474</v>
      </c>
      <c r="D395" s="22" t="s">
        <v>2475</v>
      </c>
      <c r="E395" s="22" t="s">
        <v>513</v>
      </c>
    </row>
    <row r="396" spans="1:5" ht="31.5" x14ac:dyDescent="0.25">
      <c r="A396" s="22" t="s">
        <v>2476</v>
      </c>
      <c r="B396" s="22" t="s">
        <v>2477</v>
      </c>
      <c r="C396" s="22" t="s">
        <v>2478</v>
      </c>
      <c r="D396" s="22" t="s">
        <v>971</v>
      </c>
      <c r="E396" s="22" t="s">
        <v>513</v>
      </c>
    </row>
    <row r="397" spans="1:5" ht="47.25" x14ac:dyDescent="0.25">
      <c r="A397" s="22" t="s">
        <v>2479</v>
      </c>
      <c r="B397" s="22" t="s">
        <v>2480</v>
      </c>
      <c r="C397" s="22" t="s">
        <v>2481</v>
      </c>
      <c r="D397" s="22" t="s">
        <v>1450</v>
      </c>
      <c r="E397" s="22" t="s">
        <v>513</v>
      </c>
    </row>
    <row r="398" spans="1:5" ht="31.5" x14ac:dyDescent="0.25">
      <c r="A398" s="22" t="s">
        <v>2482</v>
      </c>
      <c r="B398" s="22" t="s">
        <v>2483</v>
      </c>
      <c r="C398" s="22" t="s">
        <v>2484</v>
      </c>
      <c r="D398" s="22" t="s">
        <v>1589</v>
      </c>
      <c r="E398" s="22" t="s">
        <v>513</v>
      </c>
    </row>
    <row r="399" spans="1:5" ht="31.5" x14ac:dyDescent="0.25">
      <c r="A399" s="22" t="s">
        <v>2485</v>
      </c>
      <c r="B399" s="22" t="s">
        <v>2486</v>
      </c>
      <c r="C399" s="22" t="s">
        <v>2487</v>
      </c>
      <c r="D399" s="22" t="s">
        <v>2339</v>
      </c>
      <c r="E399" s="22" t="s">
        <v>513</v>
      </c>
    </row>
    <row r="400" spans="1:5" ht="31.5" x14ac:dyDescent="0.25">
      <c r="A400" s="22" t="s">
        <v>2488</v>
      </c>
      <c r="B400" s="22" t="s">
        <v>2489</v>
      </c>
      <c r="C400" s="22" t="s">
        <v>2490</v>
      </c>
      <c r="D400" s="22" t="s">
        <v>1585</v>
      </c>
      <c r="E400" s="22" t="s">
        <v>513</v>
      </c>
    </row>
    <row r="401" spans="1:5" ht="31.5" x14ac:dyDescent="0.25">
      <c r="A401" s="22" t="s">
        <v>2491</v>
      </c>
      <c r="B401" s="22" t="s">
        <v>1575</v>
      </c>
      <c r="C401" s="22" t="s">
        <v>2492</v>
      </c>
      <c r="D401" s="22" t="s">
        <v>15</v>
      </c>
      <c r="E401" s="22" t="s">
        <v>513</v>
      </c>
    </row>
    <row r="402" spans="1:5" ht="31.5" x14ac:dyDescent="0.25">
      <c r="A402" s="22" t="s">
        <v>2493</v>
      </c>
      <c r="B402" s="22" t="s">
        <v>356</v>
      </c>
      <c r="C402" s="22" t="s">
        <v>2494</v>
      </c>
      <c r="D402" s="22" t="s">
        <v>1493</v>
      </c>
      <c r="E402" s="22" t="s">
        <v>513</v>
      </c>
    </row>
    <row r="403" spans="1:5" ht="32.25" x14ac:dyDescent="0.25">
      <c r="A403" s="22" t="s">
        <v>2495</v>
      </c>
      <c r="B403" s="22" t="s">
        <v>2496</v>
      </c>
      <c r="C403" s="57" t="s">
        <v>2497</v>
      </c>
      <c r="D403" s="22" t="s">
        <v>1884</v>
      </c>
      <c r="E403" s="22" t="s">
        <v>513</v>
      </c>
    </row>
    <row r="404" spans="1:5" ht="31.5" x14ac:dyDescent="0.25">
      <c r="A404" s="22" t="s">
        <v>2498</v>
      </c>
      <c r="B404" s="22" t="s">
        <v>2499</v>
      </c>
      <c r="C404" s="22" t="s">
        <v>2500</v>
      </c>
      <c r="D404" s="22" t="s">
        <v>2460</v>
      </c>
      <c r="E404" s="22" t="s">
        <v>513</v>
      </c>
    </row>
    <row r="405" spans="1:5" ht="31.5" x14ac:dyDescent="0.25">
      <c r="A405" s="22" t="s">
        <v>2501</v>
      </c>
      <c r="B405" s="22" t="s">
        <v>2502</v>
      </c>
      <c r="C405" s="22" t="s">
        <v>2503</v>
      </c>
      <c r="D405" s="22" t="s">
        <v>1107</v>
      </c>
      <c r="E405" s="22" t="s">
        <v>513</v>
      </c>
    </row>
    <row r="406" spans="1:5" ht="48" x14ac:dyDescent="0.25">
      <c r="A406" s="22" t="s">
        <v>2504</v>
      </c>
      <c r="B406" s="22" t="s">
        <v>2505</v>
      </c>
      <c r="C406" s="57" t="s">
        <v>2506</v>
      </c>
      <c r="D406" s="22" t="s">
        <v>728</v>
      </c>
      <c r="E406" s="22" t="s">
        <v>513</v>
      </c>
    </row>
    <row r="407" spans="1:5" ht="32.25" x14ac:dyDescent="0.25">
      <c r="A407" s="22" t="s">
        <v>2507</v>
      </c>
      <c r="B407" s="22" t="s">
        <v>2508</v>
      </c>
      <c r="C407" s="57" t="s">
        <v>2509</v>
      </c>
      <c r="D407" s="22" t="s">
        <v>749</v>
      </c>
      <c r="E407" s="22" t="s">
        <v>513</v>
      </c>
    </row>
    <row r="408" spans="1:5" ht="32.25" x14ac:dyDescent="0.25">
      <c r="A408" s="22" t="s">
        <v>2510</v>
      </c>
      <c r="B408" s="22" t="s">
        <v>683</v>
      </c>
      <c r="C408" s="57" t="s">
        <v>2511</v>
      </c>
      <c r="D408" s="22" t="s">
        <v>2512</v>
      </c>
      <c r="E408" s="22" t="s">
        <v>513</v>
      </c>
    </row>
    <row r="409" spans="1:5" ht="31.5" x14ac:dyDescent="0.25">
      <c r="A409" s="22" t="s">
        <v>2513</v>
      </c>
      <c r="B409" s="22" t="s">
        <v>2514</v>
      </c>
      <c r="C409" s="22" t="s">
        <v>2515</v>
      </c>
      <c r="D409" s="22" t="s">
        <v>737</v>
      </c>
      <c r="E409" s="22" t="s">
        <v>513</v>
      </c>
    </row>
    <row r="410" spans="1:5" ht="31.5" x14ac:dyDescent="0.25">
      <c r="A410" s="22" t="s">
        <v>2516</v>
      </c>
      <c r="B410" s="22" t="s">
        <v>2517</v>
      </c>
      <c r="C410" s="22" t="s">
        <v>2518</v>
      </c>
      <c r="D410" s="22" t="s">
        <v>760</v>
      </c>
      <c r="E410" s="22" t="s">
        <v>513</v>
      </c>
    </row>
    <row r="411" spans="1:5" ht="31.5" x14ac:dyDescent="0.25">
      <c r="A411" s="22" t="s">
        <v>2519</v>
      </c>
      <c r="B411" s="22" t="s">
        <v>2520</v>
      </c>
      <c r="C411" s="22" t="s">
        <v>2521</v>
      </c>
      <c r="D411" s="22" t="s">
        <v>2522</v>
      </c>
      <c r="E411" s="22" t="s">
        <v>513</v>
      </c>
    </row>
    <row r="412" spans="1:5" ht="31.5" x14ac:dyDescent="0.25">
      <c r="A412" s="22" t="s">
        <v>2523</v>
      </c>
      <c r="B412" s="22" t="s">
        <v>2524</v>
      </c>
      <c r="C412" s="22" t="s">
        <v>2525</v>
      </c>
      <c r="D412" s="22" t="s">
        <v>541</v>
      </c>
      <c r="E412" s="22" t="s">
        <v>513</v>
      </c>
    </row>
    <row r="413" spans="1:5" x14ac:dyDescent="0.25">
      <c r="A413" s="22" t="s">
        <v>2526</v>
      </c>
      <c r="B413" s="22" t="s">
        <v>2527</v>
      </c>
      <c r="C413" s="22" t="s">
        <v>2528</v>
      </c>
      <c r="D413" s="22" t="s">
        <v>1454</v>
      </c>
      <c r="E413" s="22" t="s">
        <v>513</v>
      </c>
    </row>
    <row r="414" spans="1:5" ht="31.5" x14ac:dyDescent="0.25">
      <c r="A414" s="22" t="s">
        <v>2529</v>
      </c>
      <c r="B414" s="22" t="s">
        <v>457</v>
      </c>
      <c r="C414" s="22" t="s">
        <v>2530</v>
      </c>
      <c r="D414" s="22" t="s">
        <v>1454</v>
      </c>
      <c r="E414" s="22" t="s">
        <v>513</v>
      </c>
    </row>
    <row r="415" spans="1:5" ht="47.25" x14ac:dyDescent="0.25">
      <c r="A415" s="22" t="s">
        <v>2531</v>
      </c>
      <c r="B415" s="22" t="s">
        <v>1513</v>
      </c>
      <c r="C415" s="22" t="s">
        <v>2532</v>
      </c>
      <c r="D415" s="22" t="s">
        <v>2533</v>
      </c>
      <c r="E415" s="22" t="s">
        <v>513</v>
      </c>
    </row>
    <row r="416" spans="1:5" ht="31.5" x14ac:dyDescent="0.25">
      <c r="A416" s="22" t="s">
        <v>2534</v>
      </c>
      <c r="B416" s="22" t="s">
        <v>2535</v>
      </c>
      <c r="C416" s="22" t="s">
        <v>2536</v>
      </c>
      <c r="D416" s="22" t="s">
        <v>2537</v>
      </c>
      <c r="E416" s="22" t="s">
        <v>513</v>
      </c>
    </row>
    <row r="417" spans="1:5" ht="31.5" x14ac:dyDescent="0.25">
      <c r="A417" s="22" t="s">
        <v>2538</v>
      </c>
      <c r="B417" s="22" t="s">
        <v>2539</v>
      </c>
      <c r="C417" s="22" t="s">
        <v>2540</v>
      </c>
      <c r="D417" s="22" t="s">
        <v>1464</v>
      </c>
      <c r="E417" s="22" t="s">
        <v>513</v>
      </c>
    </row>
    <row r="418" spans="1:5" ht="31.5" x14ac:dyDescent="0.25">
      <c r="A418" s="22" t="s">
        <v>2541</v>
      </c>
      <c r="B418" s="22" t="s">
        <v>1079</v>
      </c>
      <c r="C418" s="22" t="s">
        <v>2542</v>
      </c>
      <c r="D418" s="22" t="s">
        <v>1081</v>
      </c>
      <c r="E418" s="22" t="s">
        <v>513</v>
      </c>
    </row>
    <row r="419" spans="1:5" ht="31.5" x14ac:dyDescent="0.25">
      <c r="A419" s="22" t="s">
        <v>2543</v>
      </c>
      <c r="B419" s="22" t="s">
        <v>2544</v>
      </c>
      <c r="C419" s="22" t="s">
        <v>2545</v>
      </c>
      <c r="D419" s="22" t="s">
        <v>1086</v>
      </c>
      <c r="E419" s="22" t="s">
        <v>513</v>
      </c>
    </row>
    <row r="420" spans="1:5" ht="31.5" x14ac:dyDescent="0.25">
      <c r="A420" s="22" t="s">
        <v>2546</v>
      </c>
      <c r="B420" s="22" t="s">
        <v>1598</v>
      </c>
      <c r="C420" s="22" t="s">
        <v>2547</v>
      </c>
      <c r="D420" s="22" t="s">
        <v>2548</v>
      </c>
      <c r="E420" s="22" t="s">
        <v>513</v>
      </c>
    </row>
    <row r="421" spans="1:5" x14ac:dyDescent="0.25">
      <c r="A421" s="22" t="s">
        <v>2549</v>
      </c>
      <c r="B421" s="22" t="s">
        <v>2550</v>
      </c>
      <c r="C421" s="22" t="s">
        <v>2551</v>
      </c>
      <c r="D421" s="22" t="s">
        <v>842</v>
      </c>
      <c r="E421" s="22" t="s">
        <v>513</v>
      </c>
    </row>
    <row r="422" spans="1:5" ht="31.5" x14ac:dyDescent="0.25">
      <c r="A422" s="22" t="s">
        <v>2552</v>
      </c>
      <c r="B422" s="22" t="s">
        <v>2553</v>
      </c>
      <c r="C422" s="22" t="s">
        <v>2554</v>
      </c>
      <c r="D422" s="22" t="s">
        <v>2548</v>
      </c>
      <c r="E422" s="22" t="s">
        <v>513</v>
      </c>
    </row>
    <row r="423" spans="1:5" ht="31.5" x14ac:dyDescent="0.25">
      <c r="A423" s="22" t="s">
        <v>2555</v>
      </c>
      <c r="B423" s="22" t="s">
        <v>2556</v>
      </c>
      <c r="C423" s="22" t="s">
        <v>2557</v>
      </c>
      <c r="D423" s="22" t="s">
        <v>2558</v>
      </c>
      <c r="E423" s="22" t="s">
        <v>513</v>
      </c>
    </row>
    <row r="424" spans="1:5" ht="31.5" x14ac:dyDescent="0.25">
      <c r="A424" s="22" t="s">
        <v>2559</v>
      </c>
      <c r="B424" s="22" t="s">
        <v>2560</v>
      </c>
      <c r="C424" s="22" t="s">
        <v>2561</v>
      </c>
      <c r="D424" s="22" t="s">
        <v>2562</v>
      </c>
      <c r="E424" s="22" t="s">
        <v>513</v>
      </c>
    </row>
    <row r="425" spans="1:5" ht="47.25" x14ac:dyDescent="0.25">
      <c r="A425" s="22" t="s">
        <v>2563</v>
      </c>
      <c r="B425" s="22" t="s">
        <v>2564</v>
      </c>
      <c r="C425" s="22" t="s">
        <v>2565</v>
      </c>
      <c r="D425" s="22" t="s">
        <v>2566</v>
      </c>
      <c r="E425" s="22" t="s">
        <v>513</v>
      </c>
    </row>
    <row r="426" spans="1:5" ht="31.5" x14ac:dyDescent="0.25">
      <c r="A426" s="22" t="s">
        <v>2567</v>
      </c>
      <c r="B426" s="22" t="s">
        <v>2568</v>
      </c>
      <c r="C426" s="22" t="s">
        <v>2569</v>
      </c>
      <c r="D426" s="22" t="s">
        <v>2570</v>
      </c>
      <c r="E426" s="22" t="s">
        <v>513</v>
      </c>
    </row>
    <row r="427" spans="1:5" ht="31.5" x14ac:dyDescent="0.25">
      <c r="A427" s="22" t="s">
        <v>2571</v>
      </c>
      <c r="B427" s="22" t="s">
        <v>2572</v>
      </c>
      <c r="C427" s="22" t="s">
        <v>2573</v>
      </c>
      <c r="D427" s="22" t="s">
        <v>2261</v>
      </c>
      <c r="E427" s="22" t="s">
        <v>513</v>
      </c>
    </row>
    <row r="428" spans="1:5" ht="47.25" x14ac:dyDescent="0.25">
      <c r="A428" s="22" t="s">
        <v>2574</v>
      </c>
      <c r="B428" s="22" t="s">
        <v>2575</v>
      </c>
      <c r="C428" s="22" t="s">
        <v>2576</v>
      </c>
      <c r="D428" s="22" t="s">
        <v>2577</v>
      </c>
      <c r="E428" s="22" t="s">
        <v>513</v>
      </c>
    </row>
    <row r="429" spans="1:5" ht="31.5" x14ac:dyDescent="0.25">
      <c r="A429" s="22" t="s">
        <v>2578</v>
      </c>
      <c r="B429" s="22" t="s">
        <v>2579</v>
      </c>
      <c r="C429" s="22" t="s">
        <v>2580</v>
      </c>
      <c r="D429" s="22" t="s">
        <v>2380</v>
      </c>
      <c r="E429" s="22" t="s">
        <v>513</v>
      </c>
    </row>
    <row r="430" spans="1:5" ht="31.5" x14ac:dyDescent="0.25">
      <c r="A430" s="22" t="s">
        <v>2581</v>
      </c>
      <c r="B430" s="22" t="s">
        <v>1790</v>
      </c>
      <c r="C430" s="22" t="s">
        <v>2582</v>
      </c>
      <c r="D430" s="22" t="s">
        <v>1746</v>
      </c>
      <c r="E430" s="22" t="s">
        <v>513</v>
      </c>
    </row>
    <row r="431" spans="1:5" ht="31.5" x14ac:dyDescent="0.25">
      <c r="A431" s="22" t="s">
        <v>2583</v>
      </c>
      <c r="B431" s="22" t="s">
        <v>2584</v>
      </c>
      <c r="C431" s="22" t="s">
        <v>2585</v>
      </c>
      <c r="D431" s="22" t="s">
        <v>1908</v>
      </c>
      <c r="E431" s="22" t="s">
        <v>513</v>
      </c>
    </row>
    <row r="432" spans="1:5" ht="31.5" x14ac:dyDescent="0.25">
      <c r="A432" s="22" t="s">
        <v>2586</v>
      </c>
      <c r="B432" s="22" t="s">
        <v>2587</v>
      </c>
      <c r="C432" s="22" t="s">
        <v>2588</v>
      </c>
      <c r="D432" s="22" t="s">
        <v>2589</v>
      </c>
      <c r="E432" s="22" t="s">
        <v>513</v>
      </c>
    </row>
    <row r="433" spans="1:5" ht="31.5" x14ac:dyDescent="0.25">
      <c r="A433" s="22" t="s">
        <v>2590</v>
      </c>
      <c r="B433" s="22" t="s">
        <v>2591</v>
      </c>
      <c r="C433" s="22" t="s">
        <v>2592</v>
      </c>
      <c r="D433" s="22" t="s">
        <v>1762</v>
      </c>
      <c r="E433" s="22" t="s">
        <v>513</v>
      </c>
    </row>
    <row r="434" spans="1:5" ht="31.5" x14ac:dyDescent="0.25">
      <c r="A434" s="22" t="s">
        <v>2593</v>
      </c>
      <c r="B434" s="22" t="s">
        <v>2594</v>
      </c>
      <c r="C434" s="22" t="s">
        <v>2595</v>
      </c>
      <c r="D434" s="22" t="s">
        <v>1128</v>
      </c>
      <c r="E434" s="22" t="s">
        <v>513</v>
      </c>
    </row>
    <row r="435" spans="1:5" ht="31.5" x14ac:dyDescent="0.25">
      <c r="A435" s="22" t="s">
        <v>2596</v>
      </c>
      <c r="B435" s="22" t="s">
        <v>2597</v>
      </c>
      <c r="C435" s="22" t="s">
        <v>2598</v>
      </c>
      <c r="D435" s="22" t="s">
        <v>2599</v>
      </c>
      <c r="E435" s="22" t="s">
        <v>513</v>
      </c>
    </row>
    <row r="436" spans="1:5" ht="32.25" x14ac:dyDescent="0.25">
      <c r="A436" s="22" t="s">
        <v>2600</v>
      </c>
      <c r="B436" s="22" t="s">
        <v>2601</v>
      </c>
      <c r="C436" s="22" t="s">
        <v>2602</v>
      </c>
      <c r="D436" s="22" t="s">
        <v>2603</v>
      </c>
      <c r="E436" s="22" t="s">
        <v>513</v>
      </c>
    </row>
    <row r="437" spans="1:5" ht="31.5" x14ac:dyDescent="0.25">
      <c r="A437" s="22" t="s">
        <v>2604</v>
      </c>
      <c r="B437" s="22" t="s">
        <v>2605</v>
      </c>
      <c r="C437" s="22" t="s">
        <v>2606</v>
      </c>
      <c r="D437" s="22" t="s">
        <v>2261</v>
      </c>
      <c r="E437" s="22" t="s">
        <v>513</v>
      </c>
    </row>
    <row r="438" spans="1:5" ht="31.5" x14ac:dyDescent="0.25">
      <c r="A438" s="22" t="s">
        <v>2607</v>
      </c>
      <c r="B438" s="22" t="s">
        <v>2608</v>
      </c>
      <c r="C438" s="22" t="s">
        <v>2609</v>
      </c>
      <c r="D438" s="22" t="s">
        <v>2610</v>
      </c>
      <c r="E438" s="22" t="s">
        <v>513</v>
      </c>
    </row>
    <row r="439" spans="1:5" ht="47.25" x14ac:dyDescent="0.25">
      <c r="A439" s="22" t="s">
        <v>2611</v>
      </c>
      <c r="B439" s="22" t="s">
        <v>2612</v>
      </c>
      <c r="C439" s="22" t="s">
        <v>2613</v>
      </c>
      <c r="D439" s="22" t="s">
        <v>2614</v>
      </c>
      <c r="E439" s="22" t="s">
        <v>513</v>
      </c>
    </row>
    <row r="440" spans="1:5" ht="31.5" x14ac:dyDescent="0.25">
      <c r="A440" s="22" t="s">
        <v>2615</v>
      </c>
      <c r="B440" s="22" t="s">
        <v>2616</v>
      </c>
      <c r="C440" s="22" t="s">
        <v>2617</v>
      </c>
      <c r="D440" s="22" t="s">
        <v>2618</v>
      </c>
      <c r="E440" s="22" t="s">
        <v>513</v>
      </c>
    </row>
    <row r="441" spans="1:5" ht="47.25" x14ac:dyDescent="0.25">
      <c r="A441" s="22" t="s">
        <v>2619</v>
      </c>
      <c r="B441" s="22" t="s">
        <v>2620</v>
      </c>
      <c r="C441" s="22" t="s">
        <v>2621</v>
      </c>
      <c r="D441" s="22" t="s">
        <v>2622</v>
      </c>
      <c r="E441" s="22" t="s">
        <v>513</v>
      </c>
    </row>
    <row r="442" spans="1:5" ht="31.5" x14ac:dyDescent="0.25">
      <c r="A442" s="22" t="s">
        <v>2636</v>
      </c>
      <c r="B442" s="22" t="s">
        <v>2637</v>
      </c>
      <c r="C442" s="22" t="s">
        <v>2638</v>
      </c>
      <c r="D442" s="22" t="s">
        <v>2639</v>
      </c>
      <c r="E442" s="22" t="s">
        <v>513</v>
      </c>
    </row>
    <row r="443" spans="1:5" ht="32.25" x14ac:dyDescent="0.25">
      <c r="A443" s="22" t="s">
        <v>2640</v>
      </c>
      <c r="B443" s="22" t="s">
        <v>2641</v>
      </c>
      <c r="C443" s="22" t="s">
        <v>2642</v>
      </c>
      <c r="D443" s="22" t="s">
        <v>2643</v>
      </c>
      <c r="E443" s="22" t="s">
        <v>513</v>
      </c>
    </row>
    <row r="444" spans="1:5" ht="16.5" x14ac:dyDescent="0.25">
      <c r="A444" s="22" t="s">
        <v>2644</v>
      </c>
      <c r="B444" s="22" t="s">
        <v>936</v>
      </c>
      <c r="C444" s="22" t="s">
        <v>2645</v>
      </c>
      <c r="D444" s="22" t="s">
        <v>2643</v>
      </c>
      <c r="E444" s="22" t="s">
        <v>513</v>
      </c>
    </row>
    <row r="445" spans="1:5" ht="31.5" x14ac:dyDescent="0.25">
      <c r="A445" s="22" t="s">
        <v>2646</v>
      </c>
      <c r="B445" s="22" t="s">
        <v>2647</v>
      </c>
      <c r="C445" s="22" t="s">
        <v>2648</v>
      </c>
      <c r="D445" s="22" t="s">
        <v>2643</v>
      </c>
      <c r="E445" s="22" t="s">
        <v>513</v>
      </c>
    </row>
    <row r="446" spans="1:5" ht="31.5" x14ac:dyDescent="0.25">
      <c r="A446" s="22" t="s">
        <v>2649</v>
      </c>
      <c r="B446" s="22" t="s">
        <v>2650</v>
      </c>
      <c r="C446" s="22" t="s">
        <v>2651</v>
      </c>
      <c r="D446" s="22" t="s">
        <v>2643</v>
      </c>
      <c r="E446" s="22" t="s">
        <v>513</v>
      </c>
    </row>
    <row r="447" spans="1:5" ht="31.5" x14ac:dyDescent="0.25">
      <c r="A447" s="22" t="s">
        <v>2652</v>
      </c>
      <c r="B447" s="22" t="s">
        <v>2653</v>
      </c>
      <c r="C447" s="22" t="s">
        <v>2654</v>
      </c>
      <c r="D447" s="22" t="s">
        <v>2643</v>
      </c>
      <c r="E447" s="22" t="s">
        <v>513</v>
      </c>
    </row>
    <row r="448" spans="1:5" ht="31.5" x14ac:dyDescent="0.25">
      <c r="A448" s="22" t="s">
        <v>2655</v>
      </c>
      <c r="B448" s="22" t="s">
        <v>2656</v>
      </c>
      <c r="C448" s="22" t="s">
        <v>2657</v>
      </c>
      <c r="D448" s="22" t="s">
        <v>2643</v>
      </c>
      <c r="E448" s="22" t="s">
        <v>513</v>
      </c>
    </row>
    <row r="449" spans="1:5" ht="31.5" x14ac:dyDescent="0.25">
      <c r="A449" s="22" t="s">
        <v>2658</v>
      </c>
      <c r="B449" s="22" t="s">
        <v>2659</v>
      </c>
      <c r="C449" s="22" t="s">
        <v>2660</v>
      </c>
      <c r="D449" s="22" t="s">
        <v>2643</v>
      </c>
      <c r="E449" s="22" t="s">
        <v>972</v>
      </c>
    </row>
    <row r="450" spans="1:5" ht="32.25" x14ac:dyDescent="0.25">
      <c r="A450" s="22" t="s">
        <v>2661</v>
      </c>
      <c r="B450" s="22" t="s">
        <v>2662</v>
      </c>
      <c r="C450" s="22" t="s">
        <v>2663</v>
      </c>
      <c r="D450" s="22" t="s">
        <v>1758</v>
      </c>
      <c r="E450" s="22" t="s">
        <v>513</v>
      </c>
    </row>
    <row r="451" spans="1:5" ht="47.25" x14ac:dyDescent="0.25">
      <c r="A451" s="22" t="s">
        <v>2664</v>
      </c>
      <c r="B451" s="22" t="s">
        <v>2665</v>
      </c>
      <c r="C451" s="22" t="s">
        <v>2666</v>
      </c>
      <c r="D451" s="22" t="s">
        <v>2667</v>
      </c>
      <c r="E451" s="22" t="s">
        <v>513</v>
      </c>
    </row>
    <row r="452" spans="1:5" ht="31.5" x14ac:dyDescent="0.25">
      <c r="A452" s="22" t="s">
        <v>2668</v>
      </c>
      <c r="B452" s="22" t="s">
        <v>2669</v>
      </c>
      <c r="C452" s="22" t="s">
        <v>2670</v>
      </c>
      <c r="D452" s="22" t="s">
        <v>1762</v>
      </c>
      <c r="E452" s="22" t="s">
        <v>513</v>
      </c>
    </row>
    <row r="453" spans="1:5" ht="31.5" x14ac:dyDescent="0.25">
      <c r="A453" s="22" t="s">
        <v>2671</v>
      </c>
      <c r="B453" s="22" t="s">
        <v>2672</v>
      </c>
      <c r="C453" s="22" t="s">
        <v>2673</v>
      </c>
      <c r="D453" s="22" t="s">
        <v>1128</v>
      </c>
      <c r="E453" s="22" t="s">
        <v>513</v>
      </c>
    </row>
    <row r="454" spans="1:5" ht="31.5" x14ac:dyDescent="0.25">
      <c r="A454" s="22" t="s">
        <v>2674</v>
      </c>
      <c r="B454" s="22" t="s">
        <v>2675</v>
      </c>
      <c r="C454" s="22" t="s">
        <v>2676</v>
      </c>
      <c r="D454" s="22" t="s">
        <v>2677</v>
      </c>
      <c r="E454" s="22" t="s">
        <v>513</v>
      </c>
    </row>
    <row r="455" spans="1:5" ht="31.5" x14ac:dyDescent="0.25">
      <c r="A455" s="22" t="s">
        <v>2678</v>
      </c>
      <c r="B455" s="22" t="s">
        <v>2679</v>
      </c>
      <c r="C455" s="22" t="s">
        <v>2680</v>
      </c>
      <c r="D455" s="22" t="s">
        <v>2677</v>
      </c>
      <c r="E455" s="22" t="s">
        <v>513</v>
      </c>
    </row>
    <row r="456" spans="1:5" ht="31.5" x14ac:dyDescent="0.25">
      <c r="A456" s="22" t="s">
        <v>2681</v>
      </c>
      <c r="B456" s="22" t="s">
        <v>2682</v>
      </c>
      <c r="C456" s="22" t="s">
        <v>2683</v>
      </c>
      <c r="D456" s="22" t="s">
        <v>2684</v>
      </c>
      <c r="E456" s="22" t="s">
        <v>513</v>
      </c>
    </row>
    <row r="457" spans="1:5" ht="31.5" x14ac:dyDescent="0.25">
      <c r="A457" s="22" t="s">
        <v>2685</v>
      </c>
      <c r="B457" s="22" t="s">
        <v>2686</v>
      </c>
      <c r="C457" s="22" t="s">
        <v>2687</v>
      </c>
      <c r="D457" s="22" t="s">
        <v>2677</v>
      </c>
      <c r="E457" s="22" t="s">
        <v>513</v>
      </c>
    </row>
    <row r="458" spans="1:5" ht="31.5" x14ac:dyDescent="0.25">
      <c r="A458" s="22" t="s">
        <v>2688</v>
      </c>
      <c r="B458" s="22" t="s">
        <v>2689</v>
      </c>
      <c r="C458" s="22" t="s">
        <v>2690</v>
      </c>
      <c r="D458" s="22" t="s">
        <v>2691</v>
      </c>
      <c r="E458" s="22" t="s">
        <v>972</v>
      </c>
    </row>
    <row r="459" spans="1:5" ht="31.5" x14ac:dyDescent="0.25">
      <c r="A459" s="22" t="s">
        <v>2692</v>
      </c>
      <c r="B459" s="22" t="s">
        <v>2693</v>
      </c>
      <c r="C459" s="22" t="s">
        <v>2694</v>
      </c>
      <c r="D459" s="22" t="s">
        <v>2695</v>
      </c>
      <c r="E459" s="22" t="s">
        <v>972</v>
      </c>
    </row>
    <row r="460" spans="1:5" ht="31.5" x14ac:dyDescent="0.25">
      <c r="A460" s="22" t="s">
        <v>2696</v>
      </c>
      <c r="B460" s="22" t="s">
        <v>2697</v>
      </c>
      <c r="C460" s="22" t="s">
        <v>2698</v>
      </c>
      <c r="D460" s="22" t="s">
        <v>2614</v>
      </c>
      <c r="E460" s="22" t="s">
        <v>513</v>
      </c>
    </row>
    <row r="461" spans="1:5" ht="16.5" x14ac:dyDescent="0.25">
      <c r="A461" s="22" t="s">
        <v>2699</v>
      </c>
      <c r="B461" s="22" t="s">
        <v>2700</v>
      </c>
      <c r="C461" s="22" t="s">
        <v>2701</v>
      </c>
      <c r="D461" s="22" t="s">
        <v>2643</v>
      </c>
      <c r="E461" s="22" t="s">
        <v>513</v>
      </c>
    </row>
    <row r="462" spans="1:5" ht="16.5" x14ac:dyDescent="0.25">
      <c r="A462" s="22" t="s">
        <v>2702</v>
      </c>
      <c r="B462" s="22" t="s">
        <v>2703</v>
      </c>
      <c r="C462" s="22" t="s">
        <v>2704</v>
      </c>
      <c r="D462" s="22" t="s">
        <v>1758</v>
      </c>
      <c r="E462" s="22" t="s">
        <v>513</v>
      </c>
    </row>
    <row r="463" spans="1:5" ht="32.25" x14ac:dyDescent="0.25">
      <c r="A463" s="22" t="s">
        <v>2705</v>
      </c>
      <c r="B463" s="22" t="s">
        <v>2706</v>
      </c>
      <c r="C463" s="22" t="s">
        <v>2707</v>
      </c>
      <c r="D463" s="22" t="s">
        <v>1762</v>
      </c>
      <c r="E463" s="22" t="s">
        <v>513</v>
      </c>
    </row>
    <row r="464" spans="1:5" ht="16.5" x14ac:dyDescent="0.25">
      <c r="A464" s="22" t="s">
        <v>2708</v>
      </c>
      <c r="B464" s="22" t="s">
        <v>2709</v>
      </c>
      <c r="C464" s="22" t="s">
        <v>2710</v>
      </c>
      <c r="D464" s="22" t="s">
        <v>1128</v>
      </c>
      <c r="E464" s="22" t="s">
        <v>513</v>
      </c>
    </row>
    <row r="465" spans="1:5" ht="32.25" x14ac:dyDescent="0.25">
      <c r="A465" s="22" t="s">
        <v>2711</v>
      </c>
      <c r="B465" s="22" t="s">
        <v>2712</v>
      </c>
      <c r="C465" s="22" t="s">
        <v>2713</v>
      </c>
      <c r="D465" s="22" t="s">
        <v>1817</v>
      </c>
      <c r="E465" s="22" t="s">
        <v>513</v>
      </c>
    </row>
    <row r="466" spans="1:5" x14ac:dyDescent="0.25">
      <c r="A466" s="22" t="s">
        <v>2714</v>
      </c>
      <c r="B466" s="22" t="s">
        <v>2715</v>
      </c>
      <c r="C466" s="22" t="s">
        <v>2716</v>
      </c>
      <c r="D466" s="22" t="s">
        <v>2717</v>
      </c>
      <c r="E466" s="22" t="s">
        <v>513</v>
      </c>
    </row>
    <row r="467" spans="1:5" ht="32.25" x14ac:dyDescent="0.25">
      <c r="A467" s="22" t="s">
        <v>2718</v>
      </c>
      <c r="B467" s="22" t="s">
        <v>2719</v>
      </c>
      <c r="C467" s="22" t="s">
        <v>2720</v>
      </c>
      <c r="D467" s="22" t="s">
        <v>1399</v>
      </c>
      <c r="E467" s="22" t="s">
        <v>513</v>
      </c>
    </row>
    <row r="468" spans="1:5" ht="32.25" x14ac:dyDescent="0.25">
      <c r="A468" s="22" t="s">
        <v>2721</v>
      </c>
      <c r="B468" s="22" t="s">
        <v>2722</v>
      </c>
      <c r="C468" s="22" t="s">
        <v>2723</v>
      </c>
      <c r="D468" s="22" t="s">
        <v>2724</v>
      </c>
      <c r="E468" s="22" t="s">
        <v>513</v>
      </c>
    </row>
    <row r="469" spans="1:5" ht="32.25" x14ac:dyDescent="0.25">
      <c r="A469" s="22" t="s">
        <v>2725</v>
      </c>
      <c r="B469" s="22" t="s">
        <v>2726</v>
      </c>
      <c r="C469" s="22" t="s">
        <v>2727</v>
      </c>
      <c r="D469" s="22" t="s">
        <v>327</v>
      </c>
      <c r="E469" s="22" t="s">
        <v>513</v>
      </c>
    </row>
    <row r="470" spans="1:5" ht="32.25" x14ac:dyDescent="0.25">
      <c r="A470" s="22" t="s">
        <v>2728</v>
      </c>
      <c r="B470" s="22" t="s">
        <v>2729</v>
      </c>
      <c r="C470" s="22" t="s">
        <v>2730</v>
      </c>
      <c r="D470" s="22" t="s">
        <v>15</v>
      </c>
      <c r="E470" s="22" t="s">
        <v>513</v>
      </c>
    </row>
    <row r="471" spans="1:5" ht="32.25" x14ac:dyDescent="0.25">
      <c r="A471" s="22" t="s">
        <v>2731</v>
      </c>
      <c r="B471" s="22" t="s">
        <v>2732</v>
      </c>
      <c r="C471" s="22" t="s">
        <v>2733</v>
      </c>
      <c r="D471" s="22" t="s">
        <v>1536</v>
      </c>
      <c r="E471" s="22" t="s">
        <v>513</v>
      </c>
    </row>
    <row r="472" spans="1:5" ht="16.5" x14ac:dyDescent="0.25">
      <c r="A472" s="22" t="s">
        <v>2734</v>
      </c>
      <c r="B472" s="22" t="s">
        <v>2735</v>
      </c>
      <c r="C472" s="22" t="s">
        <v>2736</v>
      </c>
      <c r="D472" s="22" t="s">
        <v>1920</v>
      </c>
      <c r="E472" s="22" t="s">
        <v>513</v>
      </c>
    </row>
    <row r="473" spans="1:5" ht="32.25" x14ac:dyDescent="0.25">
      <c r="A473" s="22" t="s">
        <v>2737</v>
      </c>
      <c r="B473" s="22" t="s">
        <v>2738</v>
      </c>
      <c r="C473" s="22" t="s">
        <v>2739</v>
      </c>
      <c r="D473" s="22" t="s">
        <v>1119</v>
      </c>
      <c r="E473" s="22" t="s">
        <v>513</v>
      </c>
    </row>
    <row r="474" spans="1:5" ht="31.5" x14ac:dyDescent="0.25">
      <c r="A474" s="22" t="s">
        <v>2740</v>
      </c>
      <c r="B474" s="22" t="s">
        <v>2741</v>
      </c>
      <c r="C474" s="22" t="s">
        <v>2742</v>
      </c>
      <c r="D474" s="22" t="s">
        <v>2743</v>
      </c>
      <c r="E474" s="22" t="s">
        <v>513</v>
      </c>
    </row>
    <row r="475" spans="1:5" ht="16.5" x14ac:dyDescent="0.25">
      <c r="A475" s="22" t="s">
        <v>2744</v>
      </c>
      <c r="B475" s="22" t="s">
        <v>2745</v>
      </c>
      <c r="C475" s="22" t="s">
        <v>2746</v>
      </c>
      <c r="D475" s="22" t="s">
        <v>1141</v>
      </c>
      <c r="E475" s="22" t="s">
        <v>513</v>
      </c>
    </row>
    <row r="476" spans="1:5" ht="31.5" x14ac:dyDescent="0.25">
      <c r="A476" s="22" t="s">
        <v>2747</v>
      </c>
      <c r="B476" s="22" t="s">
        <v>2748</v>
      </c>
      <c r="C476" s="22" t="s">
        <v>2749</v>
      </c>
      <c r="D476" s="22" t="s">
        <v>2750</v>
      </c>
      <c r="E476" s="22" t="s">
        <v>513</v>
      </c>
    </row>
    <row r="477" spans="1:5" ht="31.5" x14ac:dyDescent="0.25">
      <c r="A477" s="22" t="s">
        <v>2751</v>
      </c>
      <c r="B477" s="22" t="s">
        <v>2752</v>
      </c>
      <c r="C477" s="22" t="s">
        <v>2753</v>
      </c>
      <c r="D477" s="22" t="s">
        <v>2614</v>
      </c>
      <c r="E477" s="22" t="s">
        <v>513</v>
      </c>
    </row>
    <row r="478" spans="1:5" ht="31.5" x14ac:dyDescent="0.25">
      <c r="A478" s="22" t="s">
        <v>2754</v>
      </c>
      <c r="B478" s="22" t="s">
        <v>2755</v>
      </c>
      <c r="C478" s="22" t="s">
        <v>2756</v>
      </c>
      <c r="D478" s="22" t="s">
        <v>2614</v>
      </c>
      <c r="E478" s="22" t="s">
        <v>513</v>
      </c>
    </row>
    <row r="479" spans="1:5" ht="31.5" x14ac:dyDescent="0.25">
      <c r="A479" s="22" t="s">
        <v>2757</v>
      </c>
      <c r="B479" s="22" t="s">
        <v>2758</v>
      </c>
      <c r="C479" s="22" t="s">
        <v>2759</v>
      </c>
      <c r="D479" s="22" t="s">
        <v>2614</v>
      </c>
      <c r="E479" s="22" t="s">
        <v>513</v>
      </c>
    </row>
    <row r="480" spans="1:5" ht="31.5" x14ac:dyDescent="0.25">
      <c r="A480" s="22" t="s">
        <v>2760</v>
      </c>
      <c r="B480" s="22" t="s">
        <v>2261</v>
      </c>
      <c r="C480" s="22" t="s">
        <v>2761</v>
      </c>
      <c r="D480" s="22" t="s">
        <v>1126</v>
      </c>
      <c r="E480" s="22" t="s">
        <v>513</v>
      </c>
    </row>
    <row r="481" spans="1:5" ht="31.5" x14ac:dyDescent="0.25">
      <c r="A481" s="22" t="s">
        <v>2762</v>
      </c>
      <c r="B481" s="22" t="s">
        <v>2763</v>
      </c>
      <c r="C481" s="22" t="s">
        <v>2764</v>
      </c>
      <c r="D481" s="22" t="s">
        <v>11</v>
      </c>
      <c r="E481" s="22" t="s">
        <v>513</v>
      </c>
    </row>
    <row r="482" spans="1:5" ht="31.5" x14ac:dyDescent="0.25">
      <c r="A482" s="22" t="s">
        <v>2765</v>
      </c>
      <c r="B482" s="22" t="s">
        <v>2766</v>
      </c>
      <c r="C482" s="22" t="s">
        <v>2767</v>
      </c>
      <c r="D482" s="22" t="s">
        <v>2323</v>
      </c>
      <c r="E482" s="22" t="s">
        <v>513</v>
      </c>
    </row>
    <row r="483" spans="1:5" ht="31.5" x14ac:dyDescent="0.25">
      <c r="A483" s="22" t="s">
        <v>2768</v>
      </c>
      <c r="B483" s="22" t="s">
        <v>2769</v>
      </c>
      <c r="C483" s="22" t="s">
        <v>2770</v>
      </c>
      <c r="D483" s="22" t="s">
        <v>1758</v>
      </c>
      <c r="E483" s="22" t="s">
        <v>513</v>
      </c>
    </row>
    <row r="484" spans="1:5" ht="31.5" x14ac:dyDescent="0.25">
      <c r="A484" s="22" t="s">
        <v>2771</v>
      </c>
      <c r="B484" s="22" t="s">
        <v>1636</v>
      </c>
      <c r="C484" s="22" t="s">
        <v>2772</v>
      </c>
      <c r="D484" s="22" t="s">
        <v>1762</v>
      </c>
      <c r="E484" s="22" t="s">
        <v>513</v>
      </c>
    </row>
    <row r="485" spans="1:5" ht="31.5" x14ac:dyDescent="0.25">
      <c r="A485" s="22" t="s">
        <v>2773</v>
      </c>
      <c r="B485" s="22" t="s">
        <v>1000</v>
      </c>
      <c r="C485" s="22" t="s">
        <v>2774</v>
      </c>
      <c r="D485" s="22" t="s">
        <v>1884</v>
      </c>
      <c r="E485" s="22" t="s">
        <v>513</v>
      </c>
    </row>
    <row r="486" spans="1:5" ht="31.5" x14ac:dyDescent="0.25">
      <c r="A486" s="22" t="s">
        <v>2775</v>
      </c>
      <c r="B486" s="22" t="s">
        <v>2776</v>
      </c>
      <c r="C486" s="22" t="s">
        <v>2777</v>
      </c>
      <c r="D486" s="22" t="s">
        <v>450</v>
      </c>
      <c r="E486" s="22" t="s">
        <v>513</v>
      </c>
    </row>
    <row r="487" spans="1:5" ht="31.5" x14ac:dyDescent="0.25">
      <c r="A487" s="22" t="s">
        <v>2778</v>
      </c>
      <c r="B487" s="22" t="s">
        <v>2779</v>
      </c>
      <c r="C487" s="22" t="s">
        <v>2780</v>
      </c>
      <c r="D487" s="22" t="s">
        <v>1596</v>
      </c>
      <c r="E487" s="22" t="s">
        <v>513</v>
      </c>
    </row>
    <row r="488" spans="1:5" ht="31.5" x14ac:dyDescent="0.25">
      <c r="A488" s="22" t="s">
        <v>2781</v>
      </c>
      <c r="B488" s="22" t="s">
        <v>2299</v>
      </c>
      <c r="C488" s="22" t="s">
        <v>2782</v>
      </c>
      <c r="D488" s="22" t="s">
        <v>1128</v>
      </c>
      <c r="E488" s="22" t="s">
        <v>513</v>
      </c>
    </row>
    <row r="489" spans="1:5" ht="31.5" x14ac:dyDescent="0.25">
      <c r="A489" s="22" t="s">
        <v>2783</v>
      </c>
      <c r="B489" s="22" t="s">
        <v>2784</v>
      </c>
      <c r="C489" s="22" t="s">
        <v>2785</v>
      </c>
      <c r="D489" s="22" t="s">
        <v>1464</v>
      </c>
      <c r="E489" s="22" t="s">
        <v>513</v>
      </c>
    </row>
    <row r="490" spans="1:5" ht="31.5" x14ac:dyDescent="0.25">
      <c r="A490" s="22" t="s">
        <v>2786</v>
      </c>
      <c r="B490" s="22" t="s">
        <v>2787</v>
      </c>
      <c r="C490" s="22" t="s">
        <v>2788</v>
      </c>
      <c r="D490" s="22" t="s">
        <v>1876</v>
      </c>
      <c r="E490" s="22" t="s">
        <v>513</v>
      </c>
    </row>
    <row r="491" spans="1:5" ht="31.5" x14ac:dyDescent="0.25">
      <c r="A491" s="22" t="s">
        <v>2789</v>
      </c>
      <c r="B491" s="22" t="s">
        <v>2790</v>
      </c>
      <c r="C491" s="22" t="s">
        <v>2791</v>
      </c>
      <c r="D491" s="22" t="s">
        <v>15</v>
      </c>
      <c r="E491" s="22" t="s">
        <v>513</v>
      </c>
    </row>
    <row r="492" spans="1:5" ht="31.5" x14ac:dyDescent="0.25">
      <c r="A492" s="22" t="s">
        <v>2792</v>
      </c>
      <c r="B492" s="22" t="s">
        <v>2793</v>
      </c>
      <c r="C492" s="22" t="s">
        <v>2794</v>
      </c>
      <c r="D492" s="22" t="s">
        <v>230</v>
      </c>
      <c r="E492" s="22" t="s">
        <v>513</v>
      </c>
    </row>
    <row r="493" spans="1:5" x14ac:dyDescent="0.25">
      <c r="A493" s="22" t="s">
        <v>2795</v>
      </c>
      <c r="B493" s="22" t="s">
        <v>2796</v>
      </c>
      <c r="C493" s="22" t="s">
        <v>2797</v>
      </c>
      <c r="D493" s="22" t="s">
        <v>2798</v>
      </c>
      <c r="E493" s="22" t="s">
        <v>513</v>
      </c>
    </row>
    <row r="494" spans="1:5" x14ac:dyDescent="0.25">
      <c r="A494" s="22" t="s">
        <v>2799</v>
      </c>
      <c r="B494" s="22" t="s">
        <v>2800</v>
      </c>
      <c r="C494" s="22" t="s">
        <v>2801</v>
      </c>
      <c r="D494" s="22" t="s">
        <v>1141</v>
      </c>
      <c r="E494" s="22" t="s">
        <v>513</v>
      </c>
    </row>
    <row r="495" spans="1:5" ht="31.5" x14ac:dyDescent="0.25">
      <c r="A495" s="22" t="s">
        <v>2802</v>
      </c>
      <c r="B495" s="22" t="s">
        <v>2803</v>
      </c>
      <c r="C495" s="22" t="s">
        <v>2804</v>
      </c>
      <c r="D495" s="22" t="s">
        <v>2098</v>
      </c>
      <c r="E495" s="22" t="s">
        <v>513</v>
      </c>
    </row>
    <row r="496" spans="1:5" ht="31.5" x14ac:dyDescent="0.25">
      <c r="A496" s="22" t="s">
        <v>2805</v>
      </c>
      <c r="B496" s="22" t="s">
        <v>2806</v>
      </c>
      <c r="C496" s="22" t="s">
        <v>2807</v>
      </c>
      <c r="D496" s="22" t="s">
        <v>1149</v>
      </c>
      <c r="E496" s="22" t="s">
        <v>972</v>
      </c>
    </row>
    <row r="497" spans="1:5" ht="31.5" x14ac:dyDescent="0.25">
      <c r="A497" s="22" t="s">
        <v>2808</v>
      </c>
      <c r="B497" s="22" t="s">
        <v>2809</v>
      </c>
      <c r="C497" s="22" t="s">
        <v>2810</v>
      </c>
      <c r="D497" s="22" t="s">
        <v>2614</v>
      </c>
      <c r="E497" s="22" t="s">
        <v>513</v>
      </c>
    </row>
    <row r="498" spans="1:5" ht="31.5" x14ac:dyDescent="0.25">
      <c r="A498" s="22" t="s">
        <v>2811</v>
      </c>
      <c r="B498" s="22" t="s">
        <v>2812</v>
      </c>
      <c r="C498" s="22" t="s">
        <v>2813</v>
      </c>
      <c r="D498" s="22" t="s">
        <v>2261</v>
      </c>
      <c r="E498" s="22" t="s">
        <v>513</v>
      </c>
    </row>
    <row r="499" spans="1:5" x14ac:dyDescent="0.25">
      <c r="A499" s="22" t="s">
        <v>2814</v>
      </c>
      <c r="B499" s="22" t="s">
        <v>2815</v>
      </c>
      <c r="C499" s="22" t="s">
        <v>2816</v>
      </c>
      <c r="D499" s="22" t="s">
        <v>2614</v>
      </c>
      <c r="E499" s="22" t="s">
        <v>513</v>
      </c>
    </row>
    <row r="500" spans="1:5" ht="31.5" x14ac:dyDescent="0.25">
      <c r="A500" s="22" t="s">
        <v>2817</v>
      </c>
      <c r="B500" s="22" t="s">
        <v>2818</v>
      </c>
      <c r="C500" s="22" t="s">
        <v>2819</v>
      </c>
      <c r="D500" s="22" t="s">
        <v>2820</v>
      </c>
      <c r="E500" s="22" t="s">
        <v>513</v>
      </c>
    </row>
    <row r="501" spans="1:5" x14ac:dyDescent="0.25">
      <c r="A501" s="22" t="s">
        <v>2821</v>
      </c>
      <c r="B501" s="22" t="s">
        <v>2822</v>
      </c>
      <c r="C501" s="22" t="s">
        <v>2823</v>
      </c>
      <c r="D501" s="22" t="s">
        <v>2824</v>
      </c>
      <c r="E501" s="22" t="s">
        <v>513</v>
      </c>
    </row>
    <row r="502" spans="1:5" ht="31.5" x14ac:dyDescent="0.25">
      <c r="A502" s="22" t="s">
        <v>2825</v>
      </c>
      <c r="B502" s="22" t="s">
        <v>2826</v>
      </c>
      <c r="C502" s="22" t="s">
        <v>2827</v>
      </c>
      <c r="D502" s="22" t="s">
        <v>39</v>
      </c>
      <c r="E502" s="22" t="s">
        <v>513</v>
      </c>
    </row>
    <row r="503" spans="1:5" x14ac:dyDescent="0.25">
      <c r="A503" s="22" t="s">
        <v>2828</v>
      </c>
      <c r="B503" s="22" t="s">
        <v>2829</v>
      </c>
      <c r="C503" s="22" t="s">
        <v>2830</v>
      </c>
      <c r="D503" s="22" t="s">
        <v>2831</v>
      </c>
      <c r="E503" s="22" t="s">
        <v>513</v>
      </c>
    </row>
    <row r="504" spans="1:5" x14ac:dyDescent="0.25">
      <c r="A504" s="22" t="s">
        <v>2832</v>
      </c>
      <c r="B504" s="22" t="s">
        <v>2833</v>
      </c>
      <c r="C504" s="22" t="s">
        <v>2834</v>
      </c>
      <c r="D504" s="22" t="s">
        <v>450</v>
      </c>
      <c r="E504" s="22" t="s">
        <v>513</v>
      </c>
    </row>
    <row r="505" spans="1:5" ht="31.5" x14ac:dyDescent="0.25">
      <c r="A505" s="22" t="s">
        <v>2835</v>
      </c>
      <c r="B505" s="22" t="s">
        <v>2836</v>
      </c>
      <c r="C505" s="22" t="s">
        <v>2837</v>
      </c>
      <c r="D505" s="22" t="s">
        <v>1464</v>
      </c>
      <c r="E505" s="22" t="s">
        <v>513</v>
      </c>
    </row>
    <row r="506" spans="1:5" x14ac:dyDescent="0.25">
      <c r="A506" s="22" t="s">
        <v>2838</v>
      </c>
      <c r="B506" s="22" t="s">
        <v>2839</v>
      </c>
      <c r="C506" s="22" t="s">
        <v>2840</v>
      </c>
      <c r="D506" s="22" t="s">
        <v>1876</v>
      </c>
      <c r="E506" s="22" t="s">
        <v>513</v>
      </c>
    </row>
    <row r="507" spans="1:5" ht="31.5" x14ac:dyDescent="0.25">
      <c r="A507" s="22" t="s">
        <v>2841</v>
      </c>
      <c r="B507" s="22" t="s">
        <v>2842</v>
      </c>
      <c r="C507" s="22" t="s">
        <v>2843</v>
      </c>
      <c r="D507" s="22" t="s">
        <v>15</v>
      </c>
      <c r="E507" s="22" t="s">
        <v>513</v>
      </c>
    </row>
    <row r="508" spans="1:5" ht="31.5" x14ac:dyDescent="0.25">
      <c r="A508" s="22" t="s">
        <v>2844</v>
      </c>
      <c r="B508" s="22" t="s">
        <v>2845</v>
      </c>
      <c r="C508" s="22" t="s">
        <v>2846</v>
      </c>
      <c r="D508" s="22" t="s">
        <v>230</v>
      </c>
      <c r="E508" s="22" t="s">
        <v>513</v>
      </c>
    </row>
    <row r="509" spans="1:5" x14ac:dyDescent="0.25">
      <c r="A509" s="22" t="s">
        <v>2847</v>
      </c>
      <c r="B509" s="22" t="s">
        <v>2848</v>
      </c>
      <c r="C509" s="22" t="s">
        <v>2849</v>
      </c>
      <c r="D509" s="22" t="s">
        <v>1596</v>
      </c>
      <c r="E509" s="22" t="s">
        <v>513</v>
      </c>
    </row>
    <row r="510" spans="1:5" x14ac:dyDescent="0.25">
      <c r="A510" s="22" t="s">
        <v>2850</v>
      </c>
      <c r="B510" s="22" t="s">
        <v>2851</v>
      </c>
      <c r="C510" s="22" t="s">
        <v>2852</v>
      </c>
      <c r="D510" s="22" t="s">
        <v>1464</v>
      </c>
      <c r="E510" s="22" t="s">
        <v>513</v>
      </c>
    </row>
    <row r="511" spans="1:5" ht="31.5" x14ac:dyDescent="0.25">
      <c r="A511" s="22" t="s">
        <v>2853</v>
      </c>
      <c r="B511" s="22" t="s">
        <v>2854</v>
      </c>
      <c r="C511" s="22" t="s">
        <v>2855</v>
      </c>
      <c r="D511" s="22" t="s">
        <v>2856</v>
      </c>
      <c r="E511" s="22" t="s">
        <v>513</v>
      </c>
    </row>
    <row r="512" spans="1:5" ht="31.5" x14ac:dyDescent="0.25">
      <c r="A512" s="22" t="s">
        <v>2857</v>
      </c>
      <c r="B512" s="22" t="s">
        <v>2858</v>
      </c>
      <c r="C512" s="22" t="s">
        <v>2859</v>
      </c>
      <c r="D512" s="22" t="s">
        <v>2860</v>
      </c>
      <c r="E512" s="22" t="s">
        <v>513</v>
      </c>
    </row>
    <row r="513" spans="1:5" ht="31.5" x14ac:dyDescent="0.25">
      <c r="A513" s="22" t="s">
        <v>2861</v>
      </c>
      <c r="B513" s="22" t="s">
        <v>2862</v>
      </c>
      <c r="C513" s="22" t="s">
        <v>2863</v>
      </c>
      <c r="D513" s="22" t="s">
        <v>2864</v>
      </c>
      <c r="E513" s="22" t="s">
        <v>513</v>
      </c>
    </row>
    <row r="514" spans="1:5" ht="31.5" x14ac:dyDescent="0.25">
      <c r="A514" s="22" t="s">
        <v>2865</v>
      </c>
      <c r="B514" s="22" t="s">
        <v>2866</v>
      </c>
      <c r="C514" s="22" t="s">
        <v>2867</v>
      </c>
      <c r="D514" s="22" t="s">
        <v>1172</v>
      </c>
      <c r="E514" s="22" t="s">
        <v>513</v>
      </c>
    </row>
    <row r="515" spans="1:5" ht="31.5" x14ac:dyDescent="0.25">
      <c r="A515" s="22" t="s">
        <v>2868</v>
      </c>
      <c r="B515" s="22" t="s">
        <v>2869</v>
      </c>
      <c r="C515" s="22" t="s">
        <v>2870</v>
      </c>
      <c r="D515" s="22" t="s">
        <v>2614</v>
      </c>
      <c r="E515" s="22" t="s">
        <v>513</v>
      </c>
    </row>
    <row r="516" spans="1:5" ht="31.5" x14ac:dyDescent="0.25">
      <c r="A516" s="22" t="s">
        <v>2871</v>
      </c>
      <c r="B516" s="22" t="s">
        <v>2872</v>
      </c>
      <c r="C516" s="22" t="s">
        <v>2873</v>
      </c>
      <c r="D516" s="22" t="s">
        <v>1796</v>
      </c>
      <c r="E516" s="22" t="s">
        <v>513</v>
      </c>
    </row>
    <row r="517" spans="1:5" ht="31.5" x14ac:dyDescent="0.25">
      <c r="A517" s="22" t="s">
        <v>2874</v>
      </c>
      <c r="B517" s="22" t="s">
        <v>2875</v>
      </c>
      <c r="C517" s="22" t="s">
        <v>2876</v>
      </c>
      <c r="D517" s="22" t="s">
        <v>1762</v>
      </c>
      <c r="E517" s="22" t="s">
        <v>513</v>
      </c>
    </row>
    <row r="518" spans="1:5" ht="47.25" x14ac:dyDescent="0.25">
      <c r="A518" s="22" t="s">
        <v>2877</v>
      </c>
      <c r="B518" s="22" t="s">
        <v>2878</v>
      </c>
      <c r="C518" s="22" t="s">
        <v>2879</v>
      </c>
      <c r="D518" s="22" t="s">
        <v>2880</v>
      </c>
      <c r="E518" s="22" t="s">
        <v>513</v>
      </c>
    </row>
    <row r="519" spans="1:5" ht="47.25" x14ac:dyDescent="0.25">
      <c r="A519" s="22" t="s">
        <v>2881</v>
      </c>
      <c r="B519" s="22" t="s">
        <v>2882</v>
      </c>
      <c r="C519" s="22" t="s">
        <v>2883</v>
      </c>
      <c r="D519" s="22" t="s">
        <v>2614</v>
      </c>
      <c r="E519" s="22" t="s">
        <v>513</v>
      </c>
    </row>
  </sheetData>
  <autoFilter ref="A1:E1" xr:uid="{809E7388-0136-4BBA-B555-54E4655E59F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1B8DD-65C9-447C-8DEF-6C1341A83959}">
  <dimension ref="A1:A22"/>
  <sheetViews>
    <sheetView workbookViewId="0">
      <selection sqref="A1:A22"/>
    </sheetView>
  </sheetViews>
  <sheetFormatPr defaultRowHeight="15.75" x14ac:dyDescent="0.25"/>
  <sheetData>
    <row r="1" spans="1:1" x14ac:dyDescent="0.25">
      <c r="A1" t="s">
        <v>2623</v>
      </c>
    </row>
    <row r="2" spans="1:1" x14ac:dyDescent="0.25">
      <c r="A2" t="s">
        <v>2624</v>
      </c>
    </row>
    <row r="3" spans="1:1" x14ac:dyDescent="0.25">
      <c r="A3" t="s">
        <v>2625</v>
      </c>
    </row>
    <row r="4" spans="1:1" x14ac:dyDescent="0.25">
      <c r="A4" t="s">
        <v>2624</v>
      </c>
    </row>
    <row r="5" spans="1:1" x14ac:dyDescent="0.25">
      <c r="A5" t="s">
        <v>2626</v>
      </c>
    </row>
    <row r="6" spans="1:1" x14ac:dyDescent="0.25">
      <c r="A6" t="s">
        <v>2624</v>
      </c>
    </row>
    <row r="7" spans="1:1" x14ac:dyDescent="0.25">
      <c r="A7" t="s">
        <v>2627</v>
      </c>
    </row>
    <row r="8" spans="1:1" x14ac:dyDescent="0.25">
      <c r="A8" t="s">
        <v>2624</v>
      </c>
    </row>
    <row r="9" spans="1:1" x14ac:dyDescent="0.25">
      <c r="A9" t="s">
        <v>2628</v>
      </c>
    </row>
    <row r="10" spans="1:1" x14ac:dyDescent="0.25">
      <c r="A10" t="s">
        <v>2629</v>
      </c>
    </row>
    <row r="11" spans="1:1" x14ac:dyDescent="0.25">
      <c r="A11" t="s">
        <v>2624</v>
      </c>
    </row>
    <row r="12" spans="1:1" x14ac:dyDescent="0.25">
      <c r="A12" t="s">
        <v>2630</v>
      </c>
    </row>
    <row r="13" spans="1:1" x14ac:dyDescent="0.25">
      <c r="A13" t="s">
        <v>2624</v>
      </c>
    </row>
    <row r="14" spans="1:1" x14ac:dyDescent="0.25">
      <c r="A14" t="s">
        <v>2631</v>
      </c>
    </row>
    <row r="15" spans="1:1" x14ac:dyDescent="0.25">
      <c r="A15" t="s">
        <v>2624</v>
      </c>
    </row>
    <row r="16" spans="1:1" x14ac:dyDescent="0.25">
      <c r="A16" t="s">
        <v>2632</v>
      </c>
    </row>
    <row r="17" spans="1:1" x14ac:dyDescent="0.25">
      <c r="A17" t="s">
        <v>2624</v>
      </c>
    </row>
    <row r="18" spans="1:1" x14ac:dyDescent="0.25">
      <c r="A18" t="s">
        <v>2633</v>
      </c>
    </row>
    <row r="19" spans="1:1" x14ac:dyDescent="0.25">
      <c r="A19" t="s">
        <v>2624</v>
      </c>
    </row>
    <row r="20" spans="1:1" x14ac:dyDescent="0.25">
      <c r="A20" t="s">
        <v>2634</v>
      </c>
    </row>
    <row r="21" spans="1:1" x14ac:dyDescent="0.25">
      <c r="A21" t="s">
        <v>2624</v>
      </c>
    </row>
    <row r="22" spans="1:1" x14ac:dyDescent="0.25">
      <c r="A22" t="s">
        <v>2635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13E44-CFE0-4B8C-BFD5-BB8A841F2FD2}">
  <dimension ref="A1:J38"/>
  <sheetViews>
    <sheetView topLeftCell="A22" workbookViewId="0">
      <selection activeCell="A35" sqref="A35"/>
    </sheetView>
  </sheetViews>
  <sheetFormatPr defaultRowHeight="15.75" x14ac:dyDescent="0.25"/>
  <cols>
    <col min="1" max="1" width="41.5" bestFit="1" customWidth="1"/>
  </cols>
  <sheetData>
    <row r="1" spans="1:1" x14ac:dyDescent="0.25">
      <c r="A1" t="s">
        <v>1707</v>
      </c>
    </row>
    <row r="3" spans="1:1" x14ac:dyDescent="0.25">
      <c r="A3" t="s">
        <v>1708</v>
      </c>
    </row>
    <row r="5" spans="1:1" x14ac:dyDescent="0.25">
      <c r="A5" t="s">
        <v>1709</v>
      </c>
    </row>
    <row r="6" spans="1:1" x14ac:dyDescent="0.25">
      <c r="A6" t="s">
        <v>1710</v>
      </c>
    </row>
    <row r="8" spans="1:1" x14ac:dyDescent="0.25">
      <c r="A8" t="s">
        <v>1711</v>
      </c>
    </row>
    <row r="9" spans="1:1" x14ac:dyDescent="0.25">
      <c r="A9" t="s">
        <v>1712</v>
      </c>
    </row>
    <row r="10" spans="1:1" x14ac:dyDescent="0.25">
      <c r="A10" t="s">
        <v>1713</v>
      </c>
    </row>
    <row r="12" spans="1:1" x14ac:dyDescent="0.25">
      <c r="A12" t="s">
        <v>1714</v>
      </c>
    </row>
    <row r="13" spans="1:1" x14ac:dyDescent="0.25">
      <c r="A13" t="s">
        <v>1715</v>
      </c>
    </row>
    <row r="15" spans="1:1" x14ac:dyDescent="0.25">
      <c r="A15" t="s">
        <v>1716</v>
      </c>
    </row>
    <row r="16" spans="1:1" x14ac:dyDescent="0.25">
      <c r="A16" t="s">
        <v>1717</v>
      </c>
    </row>
    <row r="17" spans="1:1" x14ac:dyDescent="0.25">
      <c r="A17" t="s">
        <v>1718</v>
      </c>
    </row>
    <row r="18" spans="1:1" x14ac:dyDescent="0.25">
      <c r="A18" t="s">
        <v>1719</v>
      </c>
    </row>
    <row r="20" spans="1:1" x14ac:dyDescent="0.25">
      <c r="A20" t="s">
        <v>1720</v>
      </c>
    </row>
    <row r="21" spans="1:1" x14ac:dyDescent="0.25">
      <c r="A21" t="s">
        <v>1721</v>
      </c>
    </row>
    <row r="22" spans="1:1" x14ac:dyDescent="0.25">
      <c r="A22" t="s">
        <v>1722</v>
      </c>
    </row>
    <row r="24" spans="1:1" x14ac:dyDescent="0.25">
      <c r="A24" t="s">
        <v>1723</v>
      </c>
    </row>
    <row r="25" spans="1:1" x14ac:dyDescent="0.25">
      <c r="A25" t="s">
        <v>1724</v>
      </c>
    </row>
    <row r="26" spans="1:1" x14ac:dyDescent="0.25">
      <c r="A26" t="s">
        <v>1725</v>
      </c>
    </row>
    <row r="33" spans="1:10" ht="47.25" x14ac:dyDescent="0.25">
      <c r="A33" s="20" t="s">
        <v>1726</v>
      </c>
      <c r="B33" s="21" t="s">
        <v>1727</v>
      </c>
      <c r="C33" s="20" t="s">
        <v>39</v>
      </c>
      <c r="D33" s="21" t="s">
        <v>1728</v>
      </c>
      <c r="E33" s="21" t="s">
        <v>41</v>
      </c>
      <c r="F33" s="20" t="s">
        <v>1729</v>
      </c>
      <c r="G33" s="20" t="s">
        <v>1730</v>
      </c>
      <c r="H33" s="20" t="s">
        <v>1174</v>
      </c>
      <c r="I33" s="20" t="s">
        <v>1652</v>
      </c>
      <c r="J33" s="20" t="s">
        <v>1731</v>
      </c>
    </row>
    <row r="34" spans="1:10" ht="31.5" x14ac:dyDescent="0.25">
      <c r="A34" s="19">
        <v>1</v>
      </c>
      <c r="B34" s="22" t="s">
        <v>1732</v>
      </c>
      <c r="C34" s="66">
        <v>40000</v>
      </c>
      <c r="D34" s="22" t="s">
        <v>325</v>
      </c>
      <c r="E34" s="22" t="s">
        <v>1733</v>
      </c>
      <c r="F34" s="19" t="s">
        <v>1734</v>
      </c>
      <c r="G34" s="19" t="s">
        <v>1735</v>
      </c>
      <c r="H34" s="66">
        <v>31000</v>
      </c>
      <c r="I34" s="19" t="s">
        <v>1734</v>
      </c>
      <c r="J34" s="19" t="s">
        <v>1734</v>
      </c>
    </row>
    <row r="35" spans="1:10" ht="31.5" x14ac:dyDescent="0.25">
      <c r="A35" s="19">
        <v>2</v>
      </c>
      <c r="B35" s="22" t="s">
        <v>1736</v>
      </c>
      <c r="C35" s="66">
        <v>50000</v>
      </c>
      <c r="D35" s="22" t="s">
        <v>338</v>
      </c>
      <c r="E35" s="22" t="s">
        <v>1733</v>
      </c>
      <c r="F35" s="19" t="s">
        <v>1734</v>
      </c>
      <c r="G35" s="19" t="s">
        <v>1737</v>
      </c>
      <c r="H35" s="66">
        <v>36500</v>
      </c>
      <c r="I35" s="19" t="s">
        <v>1734</v>
      </c>
      <c r="J35" s="19" t="s">
        <v>1734</v>
      </c>
    </row>
    <row r="36" spans="1:10" ht="31.5" x14ac:dyDescent="0.25">
      <c r="A36" s="19">
        <v>3</v>
      </c>
      <c r="B36" s="22" t="s">
        <v>1738</v>
      </c>
      <c r="C36" s="66">
        <v>75000</v>
      </c>
      <c r="D36" s="22" t="s">
        <v>2</v>
      </c>
      <c r="E36" s="22" t="s">
        <v>1739</v>
      </c>
      <c r="F36" s="19" t="s">
        <v>1734</v>
      </c>
      <c r="G36" s="19" t="s">
        <v>1735</v>
      </c>
      <c r="H36" s="66">
        <v>47750</v>
      </c>
      <c r="I36" s="19" t="s">
        <v>1734</v>
      </c>
      <c r="J36" s="19" t="s">
        <v>1734</v>
      </c>
    </row>
    <row r="37" spans="1:10" ht="31.5" x14ac:dyDescent="0.25">
      <c r="A37" s="19">
        <v>4</v>
      </c>
      <c r="B37" s="22" t="s">
        <v>1740</v>
      </c>
      <c r="C37" s="66">
        <v>90000</v>
      </c>
      <c r="D37" s="22" t="s">
        <v>1741</v>
      </c>
      <c r="E37" s="22" t="s">
        <v>1733</v>
      </c>
      <c r="F37" s="19" t="s">
        <v>1734</v>
      </c>
      <c r="G37" s="19" t="s">
        <v>1737</v>
      </c>
      <c r="H37" s="66">
        <v>53000</v>
      </c>
      <c r="I37" s="19" t="s">
        <v>1734</v>
      </c>
      <c r="J37" s="19" t="s">
        <v>1734</v>
      </c>
    </row>
    <row r="38" spans="1:10" ht="31.5" x14ac:dyDescent="0.25">
      <c r="A38" s="19">
        <v>5</v>
      </c>
      <c r="B38" s="22" t="s">
        <v>230</v>
      </c>
      <c r="C38" s="66">
        <v>60000</v>
      </c>
      <c r="D38" s="22" t="s">
        <v>1742</v>
      </c>
      <c r="E38" s="22" t="s">
        <v>1733</v>
      </c>
      <c r="F38" s="19" t="s">
        <v>1734</v>
      </c>
      <c r="G38" s="19" t="s">
        <v>1735</v>
      </c>
      <c r="H38" s="66">
        <v>41000</v>
      </c>
      <c r="I38" s="19" t="s">
        <v>1734</v>
      </c>
      <c r="J38" s="19" t="s">
        <v>1734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8ED4-DE68-45D7-A8F0-7C763803EF11}">
  <dimension ref="A1:A656"/>
  <sheetViews>
    <sheetView topLeftCell="A649" workbookViewId="0">
      <selection activeCell="F663" sqref="F663"/>
    </sheetView>
  </sheetViews>
  <sheetFormatPr defaultRowHeight="15.75" x14ac:dyDescent="0.25"/>
  <sheetData>
    <row r="1" spans="1:1" ht="18" x14ac:dyDescent="0.25">
      <c r="A1" s="41"/>
    </row>
    <row r="2" spans="1:1" x14ac:dyDescent="0.25">
      <c r="A2" s="59"/>
    </row>
    <row r="3" spans="1:1" x14ac:dyDescent="0.25">
      <c r="A3" s="60"/>
    </row>
    <row r="4" spans="1:1" x14ac:dyDescent="0.25">
      <c r="A4" s="23"/>
    </row>
    <row r="5" spans="1:1" x14ac:dyDescent="0.25">
      <c r="A5" s="58"/>
    </row>
    <row r="8" spans="1:1" x14ac:dyDescent="0.25">
      <c r="A8" s="59"/>
    </row>
    <row r="9" spans="1:1" x14ac:dyDescent="0.25">
      <c r="A9" s="60"/>
    </row>
    <row r="10" spans="1:1" x14ac:dyDescent="0.25">
      <c r="A10" s="23"/>
    </row>
    <row r="11" spans="1:1" x14ac:dyDescent="0.25">
      <c r="A11" s="58"/>
    </row>
    <row r="12" spans="1:1" x14ac:dyDescent="0.25">
      <c r="A12" s="58"/>
    </row>
    <row r="13" spans="1:1" x14ac:dyDescent="0.25">
      <c r="A13" s="58"/>
    </row>
    <row r="14" spans="1:1" x14ac:dyDescent="0.25">
      <c r="A14" s="58"/>
    </row>
    <row r="15" spans="1:1" x14ac:dyDescent="0.25">
      <c r="A15" s="58"/>
    </row>
    <row r="16" spans="1:1" x14ac:dyDescent="0.25">
      <c r="A16" s="58"/>
    </row>
    <row r="17" spans="1:1" x14ac:dyDescent="0.25">
      <c r="A17" s="58"/>
    </row>
    <row r="18" spans="1:1" x14ac:dyDescent="0.25">
      <c r="A18" s="58"/>
    </row>
    <row r="19" spans="1:1" x14ac:dyDescent="0.25">
      <c r="A19" s="58"/>
    </row>
    <row r="20" spans="1:1" x14ac:dyDescent="0.25">
      <c r="A20" s="58"/>
    </row>
    <row r="21" spans="1:1" x14ac:dyDescent="0.25">
      <c r="A21" s="58"/>
    </row>
    <row r="22" spans="1:1" x14ac:dyDescent="0.25">
      <c r="A22" s="58"/>
    </row>
    <row r="25" spans="1:1" x14ac:dyDescent="0.25">
      <c r="A25" s="59"/>
    </row>
    <row r="26" spans="1:1" x14ac:dyDescent="0.25">
      <c r="A26" s="60"/>
    </row>
    <row r="27" spans="1:1" x14ac:dyDescent="0.25">
      <c r="A27" s="23"/>
    </row>
    <row r="28" spans="1:1" x14ac:dyDescent="0.25">
      <c r="A28" s="58"/>
    </row>
    <row r="29" spans="1:1" x14ac:dyDescent="0.25">
      <c r="A29" s="58"/>
    </row>
    <row r="30" spans="1:1" x14ac:dyDescent="0.25">
      <c r="A30" s="58"/>
    </row>
    <row r="31" spans="1:1" x14ac:dyDescent="0.25">
      <c r="A31" s="58"/>
    </row>
    <row r="32" spans="1:1" x14ac:dyDescent="0.25">
      <c r="A32" s="58"/>
    </row>
    <row r="33" spans="1:1" x14ac:dyDescent="0.25">
      <c r="A33" s="58"/>
    </row>
    <row r="34" spans="1:1" x14ac:dyDescent="0.25">
      <c r="A34" s="58"/>
    </row>
    <row r="35" spans="1:1" x14ac:dyDescent="0.25">
      <c r="A35" s="59"/>
    </row>
    <row r="36" spans="1:1" x14ac:dyDescent="0.25">
      <c r="A36" s="60"/>
    </row>
    <row r="37" spans="1:1" x14ac:dyDescent="0.25">
      <c r="A37" s="23"/>
    </row>
    <row r="38" spans="1:1" x14ac:dyDescent="0.25">
      <c r="A38" s="58"/>
    </row>
    <row r="39" spans="1:1" x14ac:dyDescent="0.25">
      <c r="A39" s="58"/>
    </row>
    <row r="40" spans="1:1" x14ac:dyDescent="0.25">
      <c r="A40" s="58"/>
    </row>
    <row r="41" spans="1:1" x14ac:dyDescent="0.25">
      <c r="A41" s="58"/>
    </row>
    <row r="42" spans="1:1" x14ac:dyDescent="0.25">
      <c r="A42" s="58"/>
    </row>
    <row r="43" spans="1:1" x14ac:dyDescent="0.25">
      <c r="A43" s="58"/>
    </row>
    <row r="44" spans="1:1" x14ac:dyDescent="0.25">
      <c r="A44" s="58"/>
    </row>
    <row r="47" spans="1:1" x14ac:dyDescent="0.25">
      <c r="A47" s="59"/>
    </row>
    <row r="48" spans="1:1" x14ac:dyDescent="0.25">
      <c r="A48" s="60"/>
    </row>
    <row r="49" spans="1:1" x14ac:dyDescent="0.25">
      <c r="A49" s="23"/>
    </row>
    <row r="50" spans="1:1" x14ac:dyDescent="0.25">
      <c r="A50" s="58"/>
    </row>
    <row r="51" spans="1:1" x14ac:dyDescent="0.25">
      <c r="A51" s="58"/>
    </row>
    <row r="52" spans="1:1" x14ac:dyDescent="0.25">
      <c r="A52" s="58"/>
    </row>
    <row r="53" spans="1:1" x14ac:dyDescent="0.25">
      <c r="A53" s="58"/>
    </row>
    <row r="54" spans="1:1" x14ac:dyDescent="0.25">
      <c r="A54" s="59"/>
    </row>
    <row r="55" spans="1:1" x14ac:dyDescent="0.25">
      <c r="A55" s="60"/>
    </row>
    <row r="56" spans="1:1" x14ac:dyDescent="0.25">
      <c r="A56" s="23"/>
    </row>
    <row r="57" spans="1:1" x14ac:dyDescent="0.25">
      <c r="A57" s="58"/>
    </row>
    <row r="58" spans="1:1" x14ac:dyDescent="0.25">
      <c r="A58" s="58"/>
    </row>
    <row r="59" spans="1:1" x14ac:dyDescent="0.25">
      <c r="A59" s="58"/>
    </row>
    <row r="60" spans="1:1" x14ac:dyDescent="0.25">
      <c r="A60" s="58"/>
    </row>
    <row r="63" spans="1:1" x14ac:dyDescent="0.25">
      <c r="A63" s="59"/>
    </row>
    <row r="64" spans="1:1" x14ac:dyDescent="0.25">
      <c r="A64" s="60"/>
    </row>
    <row r="65" spans="1:1" x14ac:dyDescent="0.25">
      <c r="A65" s="23"/>
    </row>
    <row r="66" spans="1:1" x14ac:dyDescent="0.25">
      <c r="A66" s="58"/>
    </row>
    <row r="67" spans="1:1" x14ac:dyDescent="0.25">
      <c r="A67" s="58"/>
    </row>
    <row r="68" spans="1:1" x14ac:dyDescent="0.25">
      <c r="A68" s="23"/>
    </row>
    <row r="69" spans="1:1" x14ac:dyDescent="0.25">
      <c r="A69" s="58"/>
    </row>
    <row r="70" spans="1:1" x14ac:dyDescent="0.25">
      <c r="A70" s="58"/>
    </row>
    <row r="71" spans="1:1" x14ac:dyDescent="0.25">
      <c r="A71" s="58"/>
    </row>
    <row r="74" spans="1:1" x14ac:dyDescent="0.25">
      <c r="A74" s="59"/>
    </row>
    <row r="75" spans="1:1" x14ac:dyDescent="0.25">
      <c r="A75" s="60"/>
    </row>
    <row r="76" spans="1:1" x14ac:dyDescent="0.25">
      <c r="A76" s="23"/>
    </row>
    <row r="77" spans="1:1" x14ac:dyDescent="0.25">
      <c r="A77" s="58"/>
    </row>
    <row r="78" spans="1:1" x14ac:dyDescent="0.25">
      <c r="A78" s="58"/>
    </row>
    <row r="79" spans="1:1" x14ac:dyDescent="0.25">
      <c r="A79" s="23"/>
    </row>
    <row r="80" spans="1:1" x14ac:dyDescent="0.25">
      <c r="A80" s="58"/>
    </row>
    <row r="83" spans="1:1" x14ac:dyDescent="0.25">
      <c r="A83" s="59"/>
    </row>
    <row r="84" spans="1:1" x14ac:dyDescent="0.25">
      <c r="A84" s="60"/>
    </row>
    <row r="85" spans="1:1" x14ac:dyDescent="0.25">
      <c r="A85" s="23"/>
    </row>
    <row r="86" spans="1:1" x14ac:dyDescent="0.25">
      <c r="A86" s="58"/>
    </row>
    <row r="87" spans="1:1" x14ac:dyDescent="0.25">
      <c r="A87" s="58"/>
    </row>
    <row r="88" spans="1:1" x14ac:dyDescent="0.25">
      <c r="A88" s="58"/>
    </row>
    <row r="89" spans="1:1" x14ac:dyDescent="0.25">
      <c r="A89" s="58"/>
    </row>
    <row r="92" spans="1:1" x14ac:dyDescent="0.25">
      <c r="A92" s="59"/>
    </row>
    <row r="93" spans="1:1" x14ac:dyDescent="0.25">
      <c r="A93" s="60"/>
    </row>
    <row r="94" spans="1:1" x14ac:dyDescent="0.25">
      <c r="A94" s="23"/>
    </row>
    <row r="95" spans="1:1" x14ac:dyDescent="0.25">
      <c r="A95" s="58"/>
    </row>
    <row r="96" spans="1:1" x14ac:dyDescent="0.25">
      <c r="A96" s="58"/>
    </row>
    <row r="97" spans="1:1" x14ac:dyDescent="0.25">
      <c r="A97" s="58"/>
    </row>
    <row r="98" spans="1:1" x14ac:dyDescent="0.25">
      <c r="A98" s="58"/>
    </row>
    <row r="101" spans="1:1" x14ac:dyDescent="0.25">
      <c r="A101" s="59"/>
    </row>
    <row r="102" spans="1:1" x14ac:dyDescent="0.25">
      <c r="A102" s="60"/>
    </row>
    <row r="103" spans="1:1" x14ac:dyDescent="0.25">
      <c r="A103" s="23"/>
    </row>
    <row r="104" spans="1:1" x14ac:dyDescent="0.25">
      <c r="A104" s="58"/>
    </row>
    <row r="105" spans="1:1" x14ac:dyDescent="0.25">
      <c r="A105" s="59"/>
    </row>
    <row r="106" spans="1:1" x14ac:dyDescent="0.25">
      <c r="A106" s="60"/>
    </row>
    <row r="107" spans="1:1" x14ac:dyDescent="0.25">
      <c r="A107" s="23"/>
    </row>
    <row r="108" spans="1:1" x14ac:dyDescent="0.25">
      <c r="A108" s="58"/>
    </row>
    <row r="109" spans="1:1" x14ac:dyDescent="0.25">
      <c r="A109" s="58"/>
    </row>
    <row r="110" spans="1:1" x14ac:dyDescent="0.25">
      <c r="A110" s="58"/>
    </row>
    <row r="111" spans="1:1" x14ac:dyDescent="0.25">
      <c r="A111" s="58"/>
    </row>
    <row r="114" spans="1:1" x14ac:dyDescent="0.25">
      <c r="A114" s="59"/>
    </row>
    <row r="115" spans="1:1" x14ac:dyDescent="0.25">
      <c r="A115" s="60"/>
    </row>
    <row r="116" spans="1:1" x14ac:dyDescent="0.25">
      <c r="A116" s="23"/>
    </row>
    <row r="117" spans="1:1" x14ac:dyDescent="0.25">
      <c r="A117" s="58"/>
    </row>
    <row r="120" spans="1:1" x14ac:dyDescent="0.25">
      <c r="A120" s="59"/>
    </row>
    <row r="121" spans="1:1" x14ac:dyDescent="0.25">
      <c r="A121" s="60"/>
    </row>
    <row r="122" spans="1:1" x14ac:dyDescent="0.25">
      <c r="A122" s="23"/>
    </row>
    <row r="123" spans="1:1" x14ac:dyDescent="0.25">
      <c r="A123" s="58"/>
    </row>
    <row r="124" spans="1:1" x14ac:dyDescent="0.25">
      <c r="A124" s="58"/>
    </row>
    <row r="125" spans="1:1" x14ac:dyDescent="0.25">
      <c r="A125" s="59"/>
    </row>
    <row r="126" spans="1:1" x14ac:dyDescent="0.25">
      <c r="A126" s="60"/>
    </row>
    <row r="127" spans="1:1" x14ac:dyDescent="0.25">
      <c r="A127" s="23"/>
    </row>
    <row r="128" spans="1:1" x14ac:dyDescent="0.25">
      <c r="A128" s="58"/>
    </row>
    <row r="129" spans="1:1" x14ac:dyDescent="0.25">
      <c r="A129" s="58"/>
    </row>
    <row r="130" spans="1:1" x14ac:dyDescent="0.25">
      <c r="A130" s="58"/>
    </row>
    <row r="131" spans="1:1" x14ac:dyDescent="0.25">
      <c r="A131" s="59"/>
    </row>
    <row r="132" spans="1:1" x14ac:dyDescent="0.25">
      <c r="A132" s="60"/>
    </row>
    <row r="133" spans="1:1" x14ac:dyDescent="0.25">
      <c r="A133" s="23"/>
    </row>
    <row r="134" spans="1:1" x14ac:dyDescent="0.25">
      <c r="A134" s="58"/>
    </row>
    <row r="135" spans="1:1" x14ac:dyDescent="0.25">
      <c r="A135" s="58"/>
    </row>
    <row r="136" spans="1:1" x14ac:dyDescent="0.25">
      <c r="A136" s="58"/>
    </row>
    <row r="137" spans="1:1" x14ac:dyDescent="0.25">
      <c r="A137" s="58"/>
    </row>
    <row r="140" spans="1:1" x14ac:dyDescent="0.25">
      <c r="A140" s="59"/>
    </row>
    <row r="141" spans="1:1" x14ac:dyDescent="0.25">
      <c r="A141" s="60"/>
    </row>
    <row r="142" spans="1:1" x14ac:dyDescent="0.25">
      <c r="A142" s="23"/>
    </row>
    <row r="143" spans="1:1" x14ac:dyDescent="0.25">
      <c r="A143" s="58"/>
    </row>
    <row r="144" spans="1:1" x14ac:dyDescent="0.25">
      <c r="A144" s="58"/>
    </row>
    <row r="145" spans="1:1" x14ac:dyDescent="0.25">
      <c r="A145" s="59"/>
    </row>
    <row r="146" spans="1:1" x14ac:dyDescent="0.25">
      <c r="A146" s="60"/>
    </row>
    <row r="147" spans="1:1" x14ac:dyDescent="0.25">
      <c r="A147" s="23"/>
    </row>
    <row r="148" spans="1:1" x14ac:dyDescent="0.25">
      <c r="A148" s="58"/>
    </row>
    <row r="149" spans="1:1" x14ac:dyDescent="0.25">
      <c r="A149" s="58"/>
    </row>
    <row r="150" spans="1:1" x14ac:dyDescent="0.25">
      <c r="A150" s="58"/>
    </row>
    <row r="151" spans="1:1" x14ac:dyDescent="0.25">
      <c r="A151" s="58"/>
    </row>
    <row r="152" spans="1:1" x14ac:dyDescent="0.25">
      <c r="A152" s="59"/>
    </row>
    <row r="153" spans="1:1" x14ac:dyDescent="0.25">
      <c r="A153" s="60"/>
    </row>
    <row r="154" spans="1:1" x14ac:dyDescent="0.25">
      <c r="A154" s="23"/>
    </row>
    <row r="155" spans="1:1" x14ac:dyDescent="0.25">
      <c r="A155" s="58"/>
    </row>
    <row r="156" spans="1:1" x14ac:dyDescent="0.25">
      <c r="A156" s="58"/>
    </row>
    <row r="157" spans="1:1" x14ac:dyDescent="0.25">
      <c r="A157" s="58"/>
    </row>
    <row r="158" spans="1:1" x14ac:dyDescent="0.25">
      <c r="A158" s="58"/>
    </row>
    <row r="159" spans="1:1" x14ac:dyDescent="0.25">
      <c r="A159" s="59"/>
    </row>
    <row r="160" spans="1:1" x14ac:dyDescent="0.25">
      <c r="A160" s="60"/>
    </row>
    <row r="161" spans="1:1" x14ac:dyDescent="0.25">
      <c r="A161" s="23"/>
    </row>
    <row r="162" spans="1:1" x14ac:dyDescent="0.25">
      <c r="A162" s="58"/>
    </row>
    <row r="163" spans="1:1" x14ac:dyDescent="0.25">
      <c r="A163" s="58"/>
    </row>
    <row r="164" spans="1:1" x14ac:dyDescent="0.25">
      <c r="A164" s="58"/>
    </row>
    <row r="165" spans="1:1" x14ac:dyDescent="0.25">
      <c r="A165" s="58"/>
    </row>
    <row r="168" spans="1:1" x14ac:dyDescent="0.25">
      <c r="A168" s="59"/>
    </row>
    <row r="169" spans="1:1" x14ac:dyDescent="0.25">
      <c r="A169" s="60"/>
    </row>
    <row r="170" spans="1:1" x14ac:dyDescent="0.25">
      <c r="A170" s="23"/>
    </row>
    <row r="171" spans="1:1" x14ac:dyDescent="0.25">
      <c r="A171" s="58"/>
    </row>
    <row r="172" spans="1:1" x14ac:dyDescent="0.25">
      <c r="A172" s="58"/>
    </row>
    <row r="173" spans="1:1" x14ac:dyDescent="0.25">
      <c r="A173" s="58"/>
    </row>
    <row r="174" spans="1:1" x14ac:dyDescent="0.25">
      <c r="A174" s="58"/>
    </row>
    <row r="177" spans="1:1" x14ac:dyDescent="0.25">
      <c r="A177" s="59"/>
    </row>
    <row r="178" spans="1:1" x14ac:dyDescent="0.25">
      <c r="A178" s="60"/>
    </row>
    <row r="179" spans="1:1" x14ac:dyDescent="0.25">
      <c r="A179" s="23"/>
    </row>
    <row r="180" spans="1:1" x14ac:dyDescent="0.25">
      <c r="A180" s="58"/>
    </row>
    <row r="181" spans="1:1" x14ac:dyDescent="0.25">
      <c r="A181" s="58"/>
    </row>
    <row r="182" spans="1:1" x14ac:dyDescent="0.25">
      <c r="A182" s="58"/>
    </row>
    <row r="183" spans="1:1" x14ac:dyDescent="0.25">
      <c r="A183" s="58"/>
    </row>
    <row r="186" spans="1:1" x14ac:dyDescent="0.25">
      <c r="A186" s="59"/>
    </row>
    <row r="187" spans="1:1" x14ac:dyDescent="0.25">
      <c r="A187" s="60"/>
    </row>
    <row r="188" spans="1:1" x14ac:dyDescent="0.25">
      <c r="A188" s="23"/>
    </row>
    <row r="189" spans="1:1" x14ac:dyDescent="0.25">
      <c r="A189" s="58"/>
    </row>
    <row r="190" spans="1:1" x14ac:dyDescent="0.25">
      <c r="A190" s="58"/>
    </row>
    <row r="191" spans="1:1" x14ac:dyDescent="0.25">
      <c r="A191" s="58"/>
    </row>
    <row r="192" spans="1:1" x14ac:dyDescent="0.25">
      <c r="A192" s="58"/>
    </row>
    <row r="193" spans="1:1" x14ac:dyDescent="0.25">
      <c r="A193" s="58"/>
    </row>
    <row r="196" spans="1:1" x14ac:dyDescent="0.25">
      <c r="A196" s="59"/>
    </row>
    <row r="197" spans="1:1" x14ac:dyDescent="0.25">
      <c r="A197" s="60"/>
    </row>
    <row r="198" spans="1:1" x14ac:dyDescent="0.25">
      <c r="A198" s="23"/>
    </row>
    <row r="199" spans="1:1" x14ac:dyDescent="0.25">
      <c r="A199" s="58"/>
    </row>
    <row r="200" spans="1:1" x14ac:dyDescent="0.25">
      <c r="A200" s="58"/>
    </row>
    <row r="201" spans="1:1" x14ac:dyDescent="0.25">
      <c r="A201" s="58"/>
    </row>
    <row r="202" spans="1:1" x14ac:dyDescent="0.25">
      <c r="A202" s="59"/>
    </row>
    <row r="203" spans="1:1" x14ac:dyDescent="0.25">
      <c r="A203" s="60"/>
    </row>
    <row r="204" spans="1:1" x14ac:dyDescent="0.25">
      <c r="A204" s="23"/>
    </row>
    <row r="205" spans="1:1" x14ac:dyDescent="0.25">
      <c r="A205" s="58"/>
    </row>
    <row r="206" spans="1:1" x14ac:dyDescent="0.25">
      <c r="A206" s="58"/>
    </row>
    <row r="207" spans="1:1" x14ac:dyDescent="0.25">
      <c r="A207" s="59"/>
    </row>
    <row r="208" spans="1:1" x14ac:dyDescent="0.25">
      <c r="A208" s="60"/>
    </row>
    <row r="209" spans="1:1" x14ac:dyDescent="0.25">
      <c r="A209" s="23"/>
    </row>
    <row r="210" spans="1:1" x14ac:dyDescent="0.25">
      <c r="A210" s="58"/>
    </row>
    <row r="211" spans="1:1" x14ac:dyDescent="0.25">
      <c r="A211" s="58"/>
    </row>
    <row r="212" spans="1:1" x14ac:dyDescent="0.25">
      <c r="A212" s="59"/>
    </row>
    <row r="213" spans="1:1" x14ac:dyDescent="0.25">
      <c r="A213" s="60"/>
    </row>
    <row r="214" spans="1:1" x14ac:dyDescent="0.25">
      <c r="A214" s="23"/>
    </row>
    <row r="215" spans="1:1" x14ac:dyDescent="0.25">
      <c r="A215" s="58"/>
    </row>
    <row r="216" spans="1:1" x14ac:dyDescent="0.25">
      <c r="A216" s="58"/>
    </row>
    <row r="217" spans="1:1" x14ac:dyDescent="0.25">
      <c r="A217" s="58"/>
    </row>
    <row r="218" spans="1:1" x14ac:dyDescent="0.25">
      <c r="A218" s="59"/>
    </row>
    <row r="219" spans="1:1" x14ac:dyDescent="0.25">
      <c r="A219" s="60"/>
    </row>
    <row r="220" spans="1:1" x14ac:dyDescent="0.25">
      <c r="A220" s="23"/>
    </row>
    <row r="221" spans="1:1" x14ac:dyDescent="0.25">
      <c r="A221" s="58"/>
    </row>
    <row r="222" spans="1:1" x14ac:dyDescent="0.25">
      <c r="A222" s="58"/>
    </row>
    <row r="223" spans="1:1" x14ac:dyDescent="0.25">
      <c r="A223" s="58"/>
    </row>
    <row r="224" spans="1:1" x14ac:dyDescent="0.25">
      <c r="A224" s="59"/>
    </row>
    <row r="225" spans="1:1" x14ac:dyDescent="0.25">
      <c r="A225" s="60"/>
    </row>
    <row r="226" spans="1:1" x14ac:dyDescent="0.25">
      <c r="A226" s="23"/>
    </row>
    <row r="227" spans="1:1" x14ac:dyDescent="0.25">
      <c r="A227" s="58"/>
    </row>
    <row r="230" spans="1:1" x14ac:dyDescent="0.25">
      <c r="A230" s="59"/>
    </row>
    <row r="231" spans="1:1" x14ac:dyDescent="0.25">
      <c r="A231" s="60"/>
    </row>
    <row r="232" spans="1:1" x14ac:dyDescent="0.25">
      <c r="A232" s="23"/>
    </row>
    <row r="233" spans="1:1" x14ac:dyDescent="0.25">
      <c r="A233" s="58"/>
    </row>
    <row r="236" spans="1:1" x14ac:dyDescent="0.25">
      <c r="A236" s="59"/>
    </row>
    <row r="237" spans="1:1" x14ac:dyDescent="0.25">
      <c r="A237" s="60"/>
    </row>
    <row r="238" spans="1:1" x14ac:dyDescent="0.25">
      <c r="A238" s="23"/>
    </row>
    <row r="239" spans="1:1" x14ac:dyDescent="0.25">
      <c r="A239" s="58"/>
    </row>
    <row r="240" spans="1:1" x14ac:dyDescent="0.25">
      <c r="A240" s="58"/>
    </row>
    <row r="242" spans="1:1" ht="16.5" x14ac:dyDescent="0.3">
      <c r="A242" s="56"/>
    </row>
    <row r="243" spans="1:1" x14ac:dyDescent="0.25">
      <c r="A243" s="59"/>
    </row>
    <row r="244" spans="1:1" x14ac:dyDescent="0.25">
      <c r="A244" s="60"/>
    </row>
    <row r="245" spans="1:1" x14ac:dyDescent="0.25">
      <c r="A245" s="23"/>
    </row>
    <row r="246" spans="1:1" x14ac:dyDescent="0.25">
      <c r="A246" s="58"/>
    </row>
    <row r="249" spans="1:1" x14ac:dyDescent="0.25">
      <c r="A249" s="59"/>
    </row>
    <row r="250" spans="1:1" x14ac:dyDescent="0.25">
      <c r="A250" s="60"/>
    </row>
    <row r="251" spans="1:1" x14ac:dyDescent="0.25">
      <c r="A251" s="59"/>
    </row>
    <row r="252" spans="1:1" x14ac:dyDescent="0.25">
      <c r="A252" s="23"/>
    </row>
    <row r="253" spans="1:1" x14ac:dyDescent="0.25">
      <c r="A253" s="58"/>
    </row>
    <row r="254" spans="1:1" x14ac:dyDescent="0.25">
      <c r="A254" s="58"/>
    </row>
    <row r="255" spans="1:1" x14ac:dyDescent="0.25">
      <c r="A255" s="58"/>
    </row>
    <row r="256" spans="1:1" x14ac:dyDescent="0.25">
      <c r="A256" s="58"/>
    </row>
    <row r="257" spans="1:1" x14ac:dyDescent="0.25">
      <c r="A257" s="58"/>
    </row>
    <row r="260" spans="1:1" x14ac:dyDescent="0.25">
      <c r="A260" s="59"/>
    </row>
    <row r="261" spans="1:1" x14ac:dyDescent="0.25">
      <c r="A261" s="60"/>
    </row>
    <row r="262" spans="1:1" x14ac:dyDescent="0.25">
      <c r="A262" s="23"/>
    </row>
    <row r="263" spans="1:1" x14ac:dyDescent="0.25">
      <c r="A263" s="58"/>
    </row>
    <row r="264" spans="1:1" x14ac:dyDescent="0.25">
      <c r="A264" s="59"/>
    </row>
    <row r="265" spans="1:1" x14ac:dyDescent="0.25">
      <c r="A265" s="60"/>
    </row>
    <row r="266" spans="1:1" x14ac:dyDescent="0.25">
      <c r="A266" s="23"/>
    </row>
    <row r="267" spans="1:1" x14ac:dyDescent="0.25">
      <c r="A267" s="58"/>
    </row>
    <row r="270" spans="1:1" x14ac:dyDescent="0.25">
      <c r="A270" s="59"/>
    </row>
    <row r="271" spans="1:1" x14ac:dyDescent="0.25">
      <c r="A271" s="60"/>
    </row>
    <row r="272" spans="1:1" x14ac:dyDescent="0.25">
      <c r="A272" s="23"/>
    </row>
    <row r="273" spans="1:1" x14ac:dyDescent="0.25">
      <c r="A273" s="58"/>
    </row>
    <row r="276" spans="1:1" x14ac:dyDescent="0.25">
      <c r="A276" s="59"/>
    </row>
    <row r="277" spans="1:1" x14ac:dyDescent="0.25">
      <c r="A277" s="60"/>
    </row>
    <row r="278" spans="1:1" x14ac:dyDescent="0.25">
      <c r="A278" s="23"/>
    </row>
    <row r="279" spans="1:1" x14ac:dyDescent="0.25">
      <c r="A279" s="58"/>
    </row>
    <row r="282" spans="1:1" x14ac:dyDescent="0.25">
      <c r="A282" s="59"/>
    </row>
    <row r="283" spans="1:1" x14ac:dyDescent="0.25">
      <c r="A283" s="60"/>
    </row>
    <row r="284" spans="1:1" x14ac:dyDescent="0.25">
      <c r="A284" s="23"/>
    </row>
    <row r="285" spans="1:1" x14ac:dyDescent="0.25">
      <c r="A285" s="58"/>
    </row>
    <row r="286" spans="1:1" x14ac:dyDescent="0.25">
      <c r="A286" s="58"/>
    </row>
    <row r="287" spans="1:1" x14ac:dyDescent="0.25">
      <c r="A287" s="58"/>
    </row>
    <row r="288" spans="1:1" x14ac:dyDescent="0.25">
      <c r="A288" s="58"/>
    </row>
    <row r="289" spans="1:1" x14ac:dyDescent="0.25">
      <c r="A289" s="58"/>
    </row>
    <row r="290" spans="1:1" x14ac:dyDescent="0.25">
      <c r="A290" s="59"/>
    </row>
    <row r="291" spans="1:1" x14ac:dyDescent="0.25">
      <c r="A291" s="60"/>
    </row>
    <row r="292" spans="1:1" x14ac:dyDescent="0.25">
      <c r="A292" s="23"/>
    </row>
    <row r="293" spans="1:1" x14ac:dyDescent="0.25">
      <c r="A293" s="58"/>
    </row>
    <row r="294" spans="1:1" x14ac:dyDescent="0.25">
      <c r="A294" s="58"/>
    </row>
    <row r="295" spans="1:1" x14ac:dyDescent="0.25">
      <c r="A295" s="58"/>
    </row>
    <row r="296" spans="1:1" x14ac:dyDescent="0.25">
      <c r="A296" s="58"/>
    </row>
    <row r="297" spans="1:1" x14ac:dyDescent="0.25">
      <c r="A297" s="58"/>
    </row>
    <row r="298" spans="1:1" x14ac:dyDescent="0.25">
      <c r="A298" s="59"/>
    </row>
    <row r="299" spans="1:1" x14ac:dyDescent="0.25">
      <c r="A299" s="60"/>
    </row>
    <row r="300" spans="1:1" x14ac:dyDescent="0.25">
      <c r="A300" s="23"/>
    </row>
    <row r="301" spans="1:1" x14ac:dyDescent="0.25">
      <c r="A301" s="58"/>
    </row>
    <row r="302" spans="1:1" x14ac:dyDescent="0.25">
      <c r="A302" s="58"/>
    </row>
    <row r="303" spans="1:1" x14ac:dyDescent="0.25">
      <c r="A303" s="58"/>
    </row>
    <row r="304" spans="1:1" x14ac:dyDescent="0.25">
      <c r="A304" s="58"/>
    </row>
    <row r="305" spans="1:1" x14ac:dyDescent="0.25">
      <c r="A305" s="58"/>
    </row>
    <row r="306" spans="1:1" x14ac:dyDescent="0.25">
      <c r="A306" s="58"/>
    </row>
    <row r="307" spans="1:1" x14ac:dyDescent="0.25">
      <c r="A307" s="58"/>
    </row>
    <row r="308" spans="1:1" x14ac:dyDescent="0.25">
      <c r="A308" s="59"/>
    </row>
    <row r="309" spans="1:1" x14ac:dyDescent="0.25">
      <c r="A309" s="60"/>
    </row>
    <row r="310" spans="1:1" x14ac:dyDescent="0.25">
      <c r="A310" s="23"/>
    </row>
    <row r="311" spans="1:1" x14ac:dyDescent="0.25">
      <c r="A311" s="58"/>
    </row>
    <row r="312" spans="1:1" x14ac:dyDescent="0.25">
      <c r="A312" s="59"/>
    </row>
    <row r="313" spans="1:1" x14ac:dyDescent="0.25">
      <c r="A313" s="60"/>
    </row>
    <row r="314" spans="1:1" x14ac:dyDescent="0.25">
      <c r="A314" s="23"/>
    </row>
    <row r="315" spans="1:1" x14ac:dyDescent="0.25">
      <c r="A315" s="58"/>
    </row>
    <row r="316" spans="1:1" x14ac:dyDescent="0.25">
      <c r="A316" s="58"/>
    </row>
    <row r="317" spans="1:1" x14ac:dyDescent="0.25">
      <c r="A317" s="58"/>
    </row>
    <row r="318" spans="1:1" x14ac:dyDescent="0.25">
      <c r="A318" s="58"/>
    </row>
    <row r="319" spans="1:1" x14ac:dyDescent="0.25">
      <c r="A319" s="59"/>
    </row>
    <row r="320" spans="1:1" x14ac:dyDescent="0.25">
      <c r="A320" s="60"/>
    </row>
    <row r="321" spans="1:1" x14ac:dyDescent="0.25">
      <c r="A321" s="23"/>
    </row>
    <row r="322" spans="1:1" x14ac:dyDescent="0.25">
      <c r="A322" s="58"/>
    </row>
    <row r="323" spans="1:1" x14ac:dyDescent="0.25">
      <c r="A323" s="58"/>
    </row>
    <row r="324" spans="1:1" x14ac:dyDescent="0.25">
      <c r="A324" s="58"/>
    </row>
    <row r="325" spans="1:1" x14ac:dyDescent="0.25">
      <c r="A325" s="58"/>
    </row>
    <row r="326" spans="1:1" x14ac:dyDescent="0.25">
      <c r="A326" s="58"/>
    </row>
    <row r="327" spans="1:1" x14ac:dyDescent="0.25">
      <c r="A327" s="59"/>
    </row>
    <row r="328" spans="1:1" x14ac:dyDescent="0.25">
      <c r="A328" s="60"/>
    </row>
    <row r="329" spans="1:1" x14ac:dyDescent="0.25">
      <c r="A329" s="23"/>
    </row>
    <row r="330" spans="1:1" x14ac:dyDescent="0.25">
      <c r="A330" s="58"/>
    </row>
    <row r="331" spans="1:1" x14ac:dyDescent="0.25">
      <c r="A331" s="58"/>
    </row>
    <row r="332" spans="1:1" x14ac:dyDescent="0.25">
      <c r="A332" s="58"/>
    </row>
    <row r="333" spans="1:1" x14ac:dyDescent="0.25">
      <c r="A333" s="58"/>
    </row>
    <row r="334" spans="1:1" x14ac:dyDescent="0.25">
      <c r="A334" s="59"/>
    </row>
    <row r="335" spans="1:1" x14ac:dyDescent="0.25">
      <c r="A335" s="60"/>
    </row>
    <row r="336" spans="1:1" x14ac:dyDescent="0.25">
      <c r="A336" s="23"/>
    </row>
    <row r="337" spans="1:1" x14ac:dyDescent="0.25">
      <c r="A337" s="58"/>
    </row>
    <row r="338" spans="1:1" x14ac:dyDescent="0.25">
      <c r="A338" s="58"/>
    </row>
    <row r="339" spans="1:1" x14ac:dyDescent="0.25">
      <c r="A339" s="58"/>
    </row>
    <row r="342" spans="1:1" x14ac:dyDescent="0.25">
      <c r="A342" s="59"/>
    </row>
    <row r="343" spans="1:1" x14ac:dyDescent="0.25">
      <c r="A343" s="60"/>
    </row>
    <row r="344" spans="1:1" x14ac:dyDescent="0.25">
      <c r="A344" s="23"/>
    </row>
    <row r="345" spans="1:1" x14ac:dyDescent="0.25">
      <c r="A345" s="58"/>
    </row>
    <row r="346" spans="1:1" x14ac:dyDescent="0.25">
      <c r="A346" s="58"/>
    </row>
    <row r="347" spans="1:1" x14ac:dyDescent="0.25">
      <c r="A347" s="58"/>
    </row>
    <row r="348" spans="1:1" x14ac:dyDescent="0.25">
      <c r="A348" s="58"/>
    </row>
    <row r="349" spans="1:1" x14ac:dyDescent="0.25">
      <c r="A349" s="58"/>
    </row>
    <row r="350" spans="1:1" x14ac:dyDescent="0.25">
      <c r="A350" s="58"/>
    </row>
    <row r="351" spans="1:1" x14ac:dyDescent="0.25">
      <c r="A351" s="59"/>
    </row>
    <row r="352" spans="1:1" x14ac:dyDescent="0.25">
      <c r="A352" s="60"/>
    </row>
    <row r="353" spans="1:1" x14ac:dyDescent="0.25">
      <c r="A353" s="23"/>
    </row>
    <row r="354" spans="1:1" x14ac:dyDescent="0.25">
      <c r="A354" s="58"/>
    </row>
    <row r="355" spans="1:1" x14ac:dyDescent="0.25">
      <c r="A355" s="58"/>
    </row>
    <row r="356" spans="1:1" x14ac:dyDescent="0.25">
      <c r="A356" s="58"/>
    </row>
    <row r="357" spans="1:1" x14ac:dyDescent="0.25">
      <c r="A357" s="58"/>
    </row>
    <row r="360" spans="1:1" x14ac:dyDescent="0.25">
      <c r="A360" s="59"/>
    </row>
    <row r="361" spans="1:1" x14ac:dyDescent="0.25">
      <c r="A361" s="60"/>
    </row>
    <row r="362" spans="1:1" x14ac:dyDescent="0.25">
      <c r="A362" s="23"/>
    </row>
    <row r="363" spans="1:1" x14ac:dyDescent="0.25">
      <c r="A363" s="58"/>
    </row>
    <row r="364" spans="1:1" x14ac:dyDescent="0.25">
      <c r="A364" s="58"/>
    </row>
    <row r="365" spans="1:1" x14ac:dyDescent="0.25">
      <c r="A365" s="58"/>
    </row>
    <row r="366" spans="1:1" x14ac:dyDescent="0.25">
      <c r="A366" s="58"/>
    </row>
    <row r="367" spans="1:1" x14ac:dyDescent="0.25">
      <c r="A367" s="59"/>
    </row>
    <row r="368" spans="1:1" x14ac:dyDescent="0.25">
      <c r="A368" s="60"/>
    </row>
    <row r="369" spans="1:1" x14ac:dyDescent="0.25">
      <c r="A369" s="23"/>
    </row>
    <row r="370" spans="1:1" x14ac:dyDescent="0.25">
      <c r="A370" s="58"/>
    </row>
    <row r="371" spans="1:1" x14ac:dyDescent="0.25">
      <c r="A371" s="58"/>
    </row>
    <row r="372" spans="1:1" x14ac:dyDescent="0.25">
      <c r="A372" s="58"/>
    </row>
    <row r="373" spans="1:1" x14ac:dyDescent="0.25">
      <c r="A373" s="59"/>
    </row>
    <row r="374" spans="1:1" x14ac:dyDescent="0.25">
      <c r="A374" s="60"/>
    </row>
    <row r="375" spans="1:1" x14ac:dyDescent="0.25">
      <c r="A375" s="23"/>
    </row>
    <row r="376" spans="1:1" x14ac:dyDescent="0.25">
      <c r="A376" s="58"/>
    </row>
    <row r="377" spans="1:1" x14ac:dyDescent="0.25">
      <c r="A377" s="58"/>
    </row>
    <row r="378" spans="1:1" x14ac:dyDescent="0.25">
      <c r="A378" s="58"/>
    </row>
    <row r="379" spans="1:1" x14ac:dyDescent="0.25">
      <c r="A379" s="59"/>
    </row>
    <row r="380" spans="1:1" x14ac:dyDescent="0.25">
      <c r="A380" s="60"/>
    </row>
    <row r="381" spans="1:1" x14ac:dyDescent="0.25">
      <c r="A381" s="23"/>
    </row>
    <row r="382" spans="1:1" x14ac:dyDescent="0.25">
      <c r="A382" s="58"/>
    </row>
    <row r="383" spans="1:1" x14ac:dyDescent="0.25">
      <c r="A383" s="58"/>
    </row>
    <row r="384" spans="1:1" x14ac:dyDescent="0.25">
      <c r="A384" s="58"/>
    </row>
    <row r="385" spans="1:1" x14ac:dyDescent="0.25">
      <c r="A385" s="59"/>
    </row>
    <row r="386" spans="1:1" x14ac:dyDescent="0.25">
      <c r="A386" s="60"/>
    </row>
    <row r="387" spans="1:1" x14ac:dyDescent="0.25">
      <c r="A387" s="23"/>
    </row>
    <row r="388" spans="1:1" x14ac:dyDescent="0.25">
      <c r="A388" s="58"/>
    </row>
    <row r="389" spans="1:1" x14ac:dyDescent="0.25">
      <c r="A389" s="58"/>
    </row>
    <row r="390" spans="1:1" x14ac:dyDescent="0.25">
      <c r="A390" s="58"/>
    </row>
    <row r="391" spans="1:1" x14ac:dyDescent="0.25">
      <c r="A391" s="58"/>
    </row>
    <row r="392" spans="1:1" x14ac:dyDescent="0.25">
      <c r="A392" s="58"/>
    </row>
    <row r="393" spans="1:1" x14ac:dyDescent="0.25">
      <c r="A393" s="58"/>
    </row>
    <row r="394" spans="1:1" x14ac:dyDescent="0.25">
      <c r="A394" s="59"/>
    </row>
    <row r="395" spans="1:1" x14ac:dyDescent="0.25">
      <c r="A395" s="60"/>
    </row>
    <row r="396" spans="1:1" x14ac:dyDescent="0.25">
      <c r="A396" s="23"/>
    </row>
    <row r="397" spans="1:1" x14ac:dyDescent="0.25">
      <c r="A397" s="58"/>
    </row>
    <row r="398" spans="1:1" x14ac:dyDescent="0.25">
      <c r="A398" s="58"/>
    </row>
    <row r="399" spans="1:1" x14ac:dyDescent="0.25">
      <c r="A399" s="58"/>
    </row>
    <row r="400" spans="1:1" x14ac:dyDescent="0.25">
      <c r="A400" s="58"/>
    </row>
    <row r="401" spans="1:1" x14ac:dyDescent="0.25">
      <c r="A401" s="58"/>
    </row>
    <row r="402" spans="1:1" x14ac:dyDescent="0.25">
      <c r="A402" s="58"/>
    </row>
    <row r="403" spans="1:1" x14ac:dyDescent="0.25">
      <c r="A403" s="59"/>
    </row>
    <row r="404" spans="1:1" x14ac:dyDescent="0.25">
      <c r="A404" s="60"/>
    </row>
    <row r="405" spans="1:1" x14ac:dyDescent="0.25">
      <c r="A405" s="23"/>
    </row>
    <row r="406" spans="1:1" x14ac:dyDescent="0.25">
      <c r="A406" s="58"/>
    </row>
    <row r="409" spans="1:1" x14ac:dyDescent="0.25">
      <c r="A409" s="59"/>
    </row>
    <row r="410" spans="1:1" x14ac:dyDescent="0.25">
      <c r="A410" s="60"/>
    </row>
    <row r="411" spans="1:1" x14ac:dyDescent="0.25">
      <c r="A411" s="23"/>
    </row>
    <row r="412" spans="1:1" x14ac:dyDescent="0.25">
      <c r="A412" s="58"/>
    </row>
    <row r="413" spans="1:1" x14ac:dyDescent="0.25">
      <c r="A413" s="58"/>
    </row>
    <row r="414" spans="1:1" x14ac:dyDescent="0.25">
      <c r="A414" s="58"/>
    </row>
    <row r="415" spans="1:1" x14ac:dyDescent="0.25">
      <c r="A415" s="58"/>
    </row>
    <row r="416" spans="1:1" x14ac:dyDescent="0.25">
      <c r="A416" s="59"/>
    </row>
    <row r="417" spans="1:1" x14ac:dyDescent="0.25">
      <c r="A417" s="60"/>
    </row>
    <row r="418" spans="1:1" x14ac:dyDescent="0.25">
      <c r="A418" s="23"/>
    </row>
    <row r="419" spans="1:1" x14ac:dyDescent="0.25">
      <c r="A419" s="58"/>
    </row>
    <row r="420" spans="1:1" x14ac:dyDescent="0.25">
      <c r="A420" s="58"/>
    </row>
    <row r="421" spans="1:1" x14ac:dyDescent="0.25">
      <c r="A421" s="58"/>
    </row>
    <row r="422" spans="1:1" x14ac:dyDescent="0.25">
      <c r="A422" s="58"/>
    </row>
    <row r="423" spans="1:1" x14ac:dyDescent="0.25">
      <c r="A423" s="23"/>
    </row>
    <row r="424" spans="1:1" x14ac:dyDescent="0.25">
      <c r="A424" s="58"/>
    </row>
    <row r="425" spans="1:1" x14ac:dyDescent="0.25">
      <c r="A425" s="59"/>
    </row>
    <row r="426" spans="1:1" x14ac:dyDescent="0.25">
      <c r="A426" s="60"/>
    </row>
    <row r="427" spans="1:1" x14ac:dyDescent="0.25">
      <c r="A427" s="23"/>
    </row>
    <row r="428" spans="1:1" x14ac:dyDescent="0.25">
      <c r="A428" s="58"/>
    </row>
    <row r="429" spans="1:1" x14ac:dyDescent="0.25">
      <c r="A429" s="23"/>
    </row>
    <row r="430" spans="1:1" x14ac:dyDescent="0.25">
      <c r="A430" s="58"/>
    </row>
    <row r="431" spans="1:1" x14ac:dyDescent="0.25">
      <c r="A431" s="59"/>
    </row>
    <row r="432" spans="1:1" x14ac:dyDescent="0.25">
      <c r="A432" s="60"/>
    </row>
    <row r="433" spans="1:1" x14ac:dyDescent="0.25">
      <c r="A433" s="23"/>
    </row>
    <row r="434" spans="1:1" x14ac:dyDescent="0.25">
      <c r="A434" s="58"/>
    </row>
    <row r="435" spans="1:1" x14ac:dyDescent="0.25">
      <c r="A435" s="58"/>
    </row>
    <row r="438" spans="1:1" x14ac:dyDescent="0.25">
      <c r="A438" s="59"/>
    </row>
    <row r="439" spans="1:1" x14ac:dyDescent="0.25">
      <c r="A439" s="60"/>
    </row>
    <row r="440" spans="1:1" x14ac:dyDescent="0.25">
      <c r="A440" s="23"/>
    </row>
    <row r="441" spans="1:1" x14ac:dyDescent="0.25">
      <c r="A441" s="58"/>
    </row>
    <row r="442" spans="1:1" x14ac:dyDescent="0.25">
      <c r="A442" s="58"/>
    </row>
    <row r="443" spans="1:1" x14ac:dyDescent="0.25">
      <c r="A443" s="58"/>
    </row>
    <row r="444" spans="1:1" x14ac:dyDescent="0.25">
      <c r="A444" s="58"/>
    </row>
    <row r="445" spans="1:1" x14ac:dyDescent="0.25">
      <c r="A445" s="59"/>
    </row>
    <row r="446" spans="1:1" x14ac:dyDescent="0.25">
      <c r="A446" s="60"/>
    </row>
    <row r="447" spans="1:1" x14ac:dyDescent="0.25">
      <c r="A447" s="59"/>
    </row>
    <row r="448" spans="1:1" x14ac:dyDescent="0.25">
      <c r="A448" s="23"/>
    </row>
    <row r="449" spans="1:1" x14ac:dyDescent="0.25">
      <c r="A449" s="58"/>
    </row>
    <row r="450" spans="1:1" x14ac:dyDescent="0.25">
      <c r="A450" s="58"/>
    </row>
    <row r="451" spans="1:1" x14ac:dyDescent="0.25">
      <c r="A451" s="58"/>
    </row>
    <row r="452" spans="1:1" x14ac:dyDescent="0.25">
      <c r="A452" s="58"/>
    </row>
    <row r="453" spans="1:1" x14ac:dyDescent="0.25">
      <c r="A453" s="58"/>
    </row>
    <row r="456" spans="1:1" x14ac:dyDescent="0.25">
      <c r="A456" s="59"/>
    </row>
    <row r="457" spans="1:1" x14ac:dyDescent="0.25">
      <c r="A457" s="60"/>
    </row>
    <row r="458" spans="1:1" x14ac:dyDescent="0.25">
      <c r="A458" s="59"/>
    </row>
    <row r="459" spans="1:1" x14ac:dyDescent="0.25">
      <c r="A459" s="23"/>
    </row>
    <row r="460" spans="1:1" x14ac:dyDescent="0.25">
      <c r="A460" s="58"/>
    </row>
    <row r="461" spans="1:1" x14ac:dyDescent="0.25">
      <c r="A461" s="58"/>
    </row>
    <row r="462" spans="1:1" x14ac:dyDescent="0.25">
      <c r="A462" s="58"/>
    </row>
    <row r="465" spans="1:1" x14ac:dyDescent="0.25">
      <c r="A465" s="23"/>
    </row>
    <row r="466" spans="1:1" x14ac:dyDescent="0.25">
      <c r="A466" s="58"/>
    </row>
    <row r="467" spans="1:1" x14ac:dyDescent="0.25">
      <c r="A467" s="58"/>
    </row>
    <row r="468" spans="1:1" x14ac:dyDescent="0.25">
      <c r="A468" s="59"/>
    </row>
    <row r="469" spans="1:1" x14ac:dyDescent="0.25">
      <c r="A469" s="60"/>
    </row>
    <row r="470" spans="1:1" x14ac:dyDescent="0.25">
      <c r="A470" s="23"/>
    </row>
    <row r="471" spans="1:1" x14ac:dyDescent="0.25">
      <c r="A471" s="58"/>
    </row>
    <row r="474" spans="1:1" x14ac:dyDescent="0.25">
      <c r="A474" s="59"/>
    </row>
    <row r="475" spans="1:1" x14ac:dyDescent="0.25">
      <c r="A475" s="60"/>
    </row>
    <row r="476" spans="1:1" x14ac:dyDescent="0.25">
      <c r="A476" s="59"/>
    </row>
    <row r="477" spans="1:1" x14ac:dyDescent="0.25">
      <c r="A477" s="23"/>
    </row>
    <row r="478" spans="1:1" x14ac:dyDescent="0.25">
      <c r="A478" s="58"/>
    </row>
    <row r="479" spans="1:1" x14ac:dyDescent="0.25">
      <c r="A479" s="58"/>
    </row>
    <row r="480" spans="1:1" x14ac:dyDescent="0.25">
      <c r="A480" s="58"/>
    </row>
    <row r="481" spans="1:1" x14ac:dyDescent="0.25">
      <c r="A481" s="58"/>
    </row>
    <row r="484" spans="1:1" x14ac:dyDescent="0.25">
      <c r="A484" s="59"/>
    </row>
    <row r="485" spans="1:1" x14ac:dyDescent="0.25">
      <c r="A485" s="60"/>
    </row>
    <row r="486" spans="1:1" x14ac:dyDescent="0.25">
      <c r="A486" s="59"/>
    </row>
    <row r="487" spans="1:1" x14ac:dyDescent="0.25">
      <c r="A487" s="23"/>
    </row>
    <row r="488" spans="1:1" x14ac:dyDescent="0.25">
      <c r="A488" s="58"/>
    </row>
    <row r="489" spans="1:1" x14ac:dyDescent="0.25">
      <c r="A489" s="58"/>
    </row>
    <row r="490" spans="1:1" x14ac:dyDescent="0.25">
      <c r="A490" s="58"/>
    </row>
    <row r="491" spans="1:1" x14ac:dyDescent="0.25">
      <c r="A491" s="58"/>
    </row>
    <row r="492" spans="1:1" x14ac:dyDescent="0.25">
      <c r="A492" s="59"/>
    </row>
    <row r="493" spans="1:1" x14ac:dyDescent="0.25">
      <c r="A493" s="60"/>
    </row>
    <row r="494" spans="1:1" x14ac:dyDescent="0.25">
      <c r="A494" s="23"/>
    </row>
    <row r="495" spans="1:1" x14ac:dyDescent="0.25">
      <c r="A495" s="58"/>
    </row>
    <row r="498" spans="1:1" x14ac:dyDescent="0.25">
      <c r="A498" s="59"/>
    </row>
    <row r="499" spans="1:1" x14ac:dyDescent="0.25">
      <c r="A499" s="60"/>
    </row>
    <row r="500" spans="1:1" x14ac:dyDescent="0.25">
      <c r="A500" s="23"/>
    </row>
    <row r="501" spans="1:1" x14ac:dyDescent="0.25">
      <c r="A501" s="58"/>
    </row>
    <row r="502" spans="1:1" x14ac:dyDescent="0.25">
      <c r="A502" s="58"/>
    </row>
    <row r="503" spans="1:1" x14ac:dyDescent="0.25">
      <c r="A503" s="58"/>
    </row>
    <row r="504" spans="1:1" x14ac:dyDescent="0.25">
      <c r="A504" s="59"/>
    </row>
    <row r="505" spans="1:1" x14ac:dyDescent="0.25">
      <c r="A505" s="60"/>
    </row>
    <row r="506" spans="1:1" x14ac:dyDescent="0.25">
      <c r="A506" s="23"/>
    </row>
    <row r="507" spans="1:1" x14ac:dyDescent="0.25">
      <c r="A507" s="58"/>
    </row>
    <row r="508" spans="1:1" x14ac:dyDescent="0.25">
      <c r="A508" s="58"/>
    </row>
    <row r="509" spans="1:1" x14ac:dyDescent="0.25">
      <c r="A509" s="58"/>
    </row>
    <row r="510" spans="1:1" x14ac:dyDescent="0.25">
      <c r="A510" s="58"/>
    </row>
    <row r="511" spans="1:1" x14ac:dyDescent="0.25">
      <c r="A511" s="58"/>
    </row>
    <row r="512" spans="1:1" x14ac:dyDescent="0.25">
      <c r="A512" s="58"/>
    </row>
    <row r="513" spans="1:1" x14ac:dyDescent="0.25">
      <c r="A513" s="59"/>
    </row>
    <row r="514" spans="1:1" x14ac:dyDescent="0.25">
      <c r="A514" s="60"/>
    </row>
    <row r="515" spans="1:1" x14ac:dyDescent="0.25">
      <c r="A515" s="59"/>
    </row>
    <row r="516" spans="1:1" x14ac:dyDescent="0.25">
      <c r="A516" s="23"/>
    </row>
    <row r="517" spans="1:1" x14ac:dyDescent="0.25">
      <c r="A517" s="58"/>
    </row>
    <row r="518" spans="1:1" x14ac:dyDescent="0.25">
      <c r="A518" s="58"/>
    </row>
    <row r="519" spans="1:1" x14ac:dyDescent="0.25">
      <c r="A519" s="58"/>
    </row>
    <row r="520" spans="1:1" x14ac:dyDescent="0.25">
      <c r="A520" s="58"/>
    </row>
    <row r="521" spans="1:1" x14ac:dyDescent="0.25">
      <c r="A521" s="58"/>
    </row>
    <row r="522" spans="1:1" x14ac:dyDescent="0.25">
      <c r="A522" s="58"/>
    </row>
    <row r="523" spans="1:1" x14ac:dyDescent="0.25">
      <c r="A523" s="58"/>
    </row>
    <row r="524" spans="1:1" x14ac:dyDescent="0.25">
      <c r="A524" s="58"/>
    </row>
    <row r="525" spans="1:1" x14ac:dyDescent="0.25">
      <c r="A525" s="58"/>
    </row>
    <row r="526" spans="1:1" x14ac:dyDescent="0.25">
      <c r="A526" s="58"/>
    </row>
    <row r="527" spans="1:1" x14ac:dyDescent="0.25">
      <c r="A527" s="58"/>
    </row>
    <row r="528" spans="1:1" x14ac:dyDescent="0.25">
      <c r="A528" s="58"/>
    </row>
    <row r="529" spans="1:1" x14ac:dyDescent="0.25">
      <c r="A529" s="58"/>
    </row>
    <row r="530" spans="1:1" x14ac:dyDescent="0.25">
      <c r="A530" s="58"/>
    </row>
    <row r="531" spans="1:1" x14ac:dyDescent="0.25">
      <c r="A531" s="58"/>
    </row>
    <row r="532" spans="1:1" x14ac:dyDescent="0.25">
      <c r="A532" s="58"/>
    </row>
    <row r="533" spans="1:1" x14ac:dyDescent="0.25">
      <c r="A533" s="58"/>
    </row>
    <row r="534" spans="1:1" x14ac:dyDescent="0.25">
      <c r="A534" s="59"/>
    </row>
    <row r="535" spans="1:1" x14ac:dyDescent="0.25">
      <c r="A535" s="60"/>
    </row>
    <row r="536" spans="1:1" x14ac:dyDescent="0.25">
      <c r="A536" s="59"/>
    </row>
    <row r="537" spans="1:1" x14ac:dyDescent="0.25">
      <c r="A537" s="23"/>
    </row>
    <row r="538" spans="1:1" x14ac:dyDescent="0.25">
      <c r="A538" s="58"/>
    </row>
    <row r="539" spans="1:1" x14ac:dyDescent="0.25">
      <c r="A539" s="58"/>
    </row>
    <row r="542" spans="1:1" x14ac:dyDescent="0.25">
      <c r="A542" s="59"/>
    </row>
    <row r="543" spans="1:1" x14ac:dyDescent="0.25">
      <c r="A543" s="60"/>
    </row>
    <row r="544" spans="1:1" x14ac:dyDescent="0.25">
      <c r="A544" s="59"/>
    </row>
    <row r="545" spans="1:1" x14ac:dyDescent="0.25">
      <c r="A545" s="23"/>
    </row>
    <row r="546" spans="1:1" x14ac:dyDescent="0.25">
      <c r="A546" s="58"/>
    </row>
    <row r="547" spans="1:1" x14ac:dyDescent="0.25">
      <c r="A547" s="58"/>
    </row>
    <row r="548" spans="1:1" x14ac:dyDescent="0.25">
      <c r="A548" s="58"/>
    </row>
    <row r="549" spans="1:1" x14ac:dyDescent="0.25">
      <c r="A549" s="58"/>
    </row>
    <row r="550" spans="1:1" x14ac:dyDescent="0.25">
      <c r="A550" s="58"/>
    </row>
    <row r="551" spans="1:1" x14ac:dyDescent="0.25">
      <c r="A551" s="58"/>
    </row>
    <row r="552" spans="1:1" x14ac:dyDescent="0.25">
      <c r="A552" s="58"/>
    </row>
    <row r="553" spans="1:1" x14ac:dyDescent="0.25">
      <c r="A553" s="23"/>
    </row>
    <row r="554" spans="1:1" x14ac:dyDescent="0.25">
      <c r="A554" s="58"/>
    </row>
    <row r="555" spans="1:1" x14ac:dyDescent="0.25">
      <c r="A555" s="58"/>
    </row>
    <row r="556" spans="1:1" x14ac:dyDescent="0.25">
      <c r="A556" s="58"/>
    </row>
    <row r="557" spans="1:1" x14ac:dyDescent="0.25">
      <c r="A557" s="23"/>
    </row>
    <row r="558" spans="1:1" x14ac:dyDescent="0.25">
      <c r="A558" s="58"/>
    </row>
    <row r="559" spans="1:1" x14ac:dyDescent="0.25">
      <c r="A559" s="58"/>
    </row>
    <row r="560" spans="1:1" x14ac:dyDescent="0.25">
      <c r="A560" s="58"/>
    </row>
    <row r="561" spans="1:1" x14ac:dyDescent="0.25">
      <c r="A561" s="58"/>
    </row>
    <row r="562" spans="1:1" x14ac:dyDescent="0.25">
      <c r="A562" s="58"/>
    </row>
    <row r="563" spans="1:1" x14ac:dyDescent="0.25">
      <c r="A563" s="58"/>
    </row>
    <row r="564" spans="1:1" x14ac:dyDescent="0.25">
      <c r="A564" s="59"/>
    </row>
    <row r="565" spans="1:1" x14ac:dyDescent="0.25">
      <c r="A565" s="60"/>
    </row>
    <row r="566" spans="1:1" x14ac:dyDescent="0.25">
      <c r="A566" s="59"/>
    </row>
    <row r="567" spans="1:1" x14ac:dyDescent="0.25">
      <c r="A567" s="23"/>
    </row>
    <row r="568" spans="1:1" x14ac:dyDescent="0.25">
      <c r="A568" s="58"/>
    </row>
    <row r="569" spans="1:1" x14ac:dyDescent="0.25">
      <c r="A569" s="58"/>
    </row>
    <row r="570" spans="1:1" x14ac:dyDescent="0.25">
      <c r="A570" s="58"/>
    </row>
    <row r="571" spans="1:1" x14ac:dyDescent="0.25">
      <c r="A571" s="58"/>
    </row>
    <row r="572" spans="1:1" x14ac:dyDescent="0.25">
      <c r="A572" s="58"/>
    </row>
    <row r="573" spans="1:1" x14ac:dyDescent="0.25">
      <c r="A573" s="58"/>
    </row>
    <row r="574" spans="1:1" x14ac:dyDescent="0.25">
      <c r="A574" s="58"/>
    </row>
    <row r="575" spans="1:1" x14ac:dyDescent="0.25">
      <c r="A575" s="58"/>
    </row>
    <row r="576" spans="1:1" x14ac:dyDescent="0.25">
      <c r="A576" s="59"/>
    </row>
    <row r="577" spans="1:1" x14ac:dyDescent="0.25">
      <c r="A577" s="60"/>
    </row>
    <row r="578" spans="1:1" x14ac:dyDescent="0.25">
      <c r="A578" s="59"/>
    </row>
    <row r="579" spans="1:1" x14ac:dyDescent="0.25">
      <c r="A579" s="23"/>
    </row>
    <row r="580" spans="1:1" x14ac:dyDescent="0.25">
      <c r="A580" s="58"/>
    </row>
    <row r="583" spans="1:1" x14ac:dyDescent="0.25">
      <c r="A583" s="59"/>
    </row>
    <row r="584" spans="1:1" x14ac:dyDescent="0.25">
      <c r="A584" s="60"/>
    </row>
    <row r="585" spans="1:1" x14ac:dyDescent="0.25">
      <c r="A585" s="23"/>
    </row>
    <row r="586" spans="1:1" x14ac:dyDescent="0.25">
      <c r="A586" s="58"/>
    </row>
    <row r="587" spans="1:1" x14ac:dyDescent="0.25">
      <c r="A587" s="58"/>
    </row>
    <row r="588" spans="1:1" x14ac:dyDescent="0.25">
      <c r="A588" s="58"/>
    </row>
    <row r="591" spans="1:1" x14ac:dyDescent="0.25">
      <c r="A591" s="59"/>
    </row>
    <row r="592" spans="1:1" x14ac:dyDescent="0.25">
      <c r="A592" s="60"/>
    </row>
    <row r="593" spans="1:1" x14ac:dyDescent="0.25">
      <c r="A593" s="59"/>
    </row>
    <row r="594" spans="1:1" x14ac:dyDescent="0.25">
      <c r="A594" s="23"/>
    </row>
    <row r="595" spans="1:1" x14ac:dyDescent="0.25">
      <c r="A595" s="58"/>
    </row>
    <row r="596" spans="1:1" x14ac:dyDescent="0.25">
      <c r="A596" s="58"/>
    </row>
    <row r="597" spans="1:1" x14ac:dyDescent="0.25">
      <c r="A597" s="58"/>
    </row>
    <row r="600" spans="1:1" x14ac:dyDescent="0.25">
      <c r="A600" s="59"/>
    </row>
    <row r="601" spans="1:1" x14ac:dyDescent="0.25">
      <c r="A601" s="60"/>
    </row>
    <row r="602" spans="1:1" x14ac:dyDescent="0.25">
      <c r="A602" s="59"/>
    </row>
    <row r="603" spans="1:1" x14ac:dyDescent="0.25">
      <c r="A603" s="59"/>
    </row>
    <row r="604" spans="1:1" x14ac:dyDescent="0.25">
      <c r="A604" s="60"/>
    </row>
    <row r="605" spans="1:1" x14ac:dyDescent="0.25">
      <c r="A605" s="23"/>
    </row>
    <row r="606" spans="1:1" x14ac:dyDescent="0.25">
      <c r="A606" s="58"/>
    </row>
    <row r="607" spans="1:1" x14ac:dyDescent="0.25">
      <c r="A607" s="58"/>
    </row>
    <row r="608" spans="1:1" x14ac:dyDescent="0.25">
      <c r="A608" s="58"/>
    </row>
    <row r="609" spans="1:1" x14ac:dyDescent="0.25">
      <c r="A609" s="59"/>
    </row>
    <row r="610" spans="1:1" x14ac:dyDescent="0.25">
      <c r="A610" s="60"/>
    </row>
    <row r="611" spans="1:1" x14ac:dyDescent="0.25">
      <c r="A611" s="59"/>
    </row>
    <row r="612" spans="1:1" x14ac:dyDescent="0.25">
      <c r="A612" s="59"/>
    </row>
    <row r="613" spans="1:1" x14ac:dyDescent="0.25">
      <c r="A613" s="60"/>
    </row>
    <row r="614" spans="1:1" x14ac:dyDescent="0.25">
      <c r="A614" s="23"/>
    </row>
    <row r="615" spans="1:1" x14ac:dyDescent="0.25">
      <c r="A615" s="58"/>
    </row>
    <row r="616" spans="1:1" x14ac:dyDescent="0.25">
      <c r="A616" s="58"/>
    </row>
    <row r="619" spans="1:1" x14ac:dyDescent="0.25">
      <c r="A619" s="59"/>
    </row>
    <row r="620" spans="1:1" x14ac:dyDescent="0.25">
      <c r="A620" s="60"/>
    </row>
    <row r="621" spans="1:1" x14ac:dyDescent="0.25">
      <c r="A621" s="59"/>
    </row>
    <row r="622" spans="1:1" x14ac:dyDescent="0.25">
      <c r="A622" s="59"/>
    </row>
    <row r="623" spans="1:1" x14ac:dyDescent="0.25">
      <c r="A623" s="60"/>
    </row>
    <row r="624" spans="1:1" x14ac:dyDescent="0.25">
      <c r="A624" s="59"/>
    </row>
    <row r="625" spans="1:1" x14ac:dyDescent="0.25">
      <c r="A625" s="23"/>
    </row>
    <row r="626" spans="1:1" x14ac:dyDescent="0.25">
      <c r="A626" s="58"/>
    </row>
    <row r="627" spans="1:1" x14ac:dyDescent="0.25">
      <c r="A627" s="58"/>
    </row>
    <row r="628" spans="1:1" x14ac:dyDescent="0.25">
      <c r="A628" s="58"/>
    </row>
    <row r="629" spans="1:1" x14ac:dyDescent="0.25">
      <c r="A629" s="58"/>
    </row>
    <row r="630" spans="1:1" x14ac:dyDescent="0.25">
      <c r="A630" s="58"/>
    </row>
    <row r="631" spans="1:1" x14ac:dyDescent="0.25">
      <c r="A631" s="58"/>
    </row>
    <row r="632" spans="1:1" x14ac:dyDescent="0.25">
      <c r="A632" s="58"/>
    </row>
    <row r="633" spans="1:1" x14ac:dyDescent="0.25">
      <c r="A633" s="58"/>
    </row>
    <row r="639" spans="1:1" s="1" customFormat="1" x14ac:dyDescent="0.25"/>
    <row r="656" s="1" customFormat="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F4346-51A6-4972-9B86-AE946A5F6B21}">
  <dimension ref="A1:D13"/>
  <sheetViews>
    <sheetView workbookViewId="0">
      <selection activeCell="B19" sqref="B19"/>
    </sheetView>
  </sheetViews>
  <sheetFormatPr defaultRowHeight="15.75" x14ac:dyDescent="0.25"/>
  <cols>
    <col min="1" max="1" width="9" bestFit="1" customWidth="1"/>
  </cols>
  <sheetData>
    <row r="1" spans="1:4" x14ac:dyDescent="0.25">
      <c r="A1" s="62" t="s">
        <v>1213</v>
      </c>
      <c r="B1" s="62" t="s">
        <v>1476</v>
      </c>
      <c r="C1" s="62" t="s">
        <v>1477</v>
      </c>
      <c r="D1" s="62" t="s">
        <v>1478</v>
      </c>
    </row>
    <row r="2" spans="1:4" x14ac:dyDescent="0.25">
      <c r="A2" s="67">
        <v>15000</v>
      </c>
      <c r="B2" s="67">
        <v>12750</v>
      </c>
      <c r="C2" s="68">
        <v>0.85</v>
      </c>
      <c r="D2" s="67">
        <v>2250</v>
      </c>
    </row>
    <row r="3" spans="1:4" x14ac:dyDescent="0.25">
      <c r="A3" s="67">
        <v>30000</v>
      </c>
      <c r="B3" s="67">
        <v>25500</v>
      </c>
      <c r="C3" s="68">
        <v>0.85</v>
      </c>
      <c r="D3" s="67">
        <v>4500</v>
      </c>
    </row>
    <row r="4" spans="1:4" x14ac:dyDescent="0.25">
      <c r="A4" s="67">
        <v>40000</v>
      </c>
      <c r="B4" s="67">
        <v>31000</v>
      </c>
      <c r="C4" s="68">
        <v>0.77500000000000002</v>
      </c>
      <c r="D4" s="67">
        <v>9000</v>
      </c>
    </row>
    <row r="5" spans="1:4" x14ac:dyDescent="0.25">
      <c r="A5" s="67">
        <v>50000</v>
      </c>
      <c r="B5" s="67">
        <v>36500</v>
      </c>
      <c r="C5" s="68">
        <v>0.73</v>
      </c>
      <c r="D5" s="67">
        <v>13500</v>
      </c>
    </row>
    <row r="6" spans="1:4" x14ac:dyDescent="0.25">
      <c r="A6" s="67">
        <v>60000</v>
      </c>
      <c r="B6" s="67">
        <v>41000</v>
      </c>
      <c r="C6" s="68">
        <v>0.68300000000000005</v>
      </c>
      <c r="D6" s="67">
        <v>19000</v>
      </c>
    </row>
    <row r="7" spans="1:4" x14ac:dyDescent="0.25">
      <c r="A7" s="67">
        <v>75000</v>
      </c>
      <c r="B7" s="67">
        <v>47750</v>
      </c>
      <c r="C7" s="68">
        <v>0.63700000000000001</v>
      </c>
      <c r="D7" s="67">
        <v>27250</v>
      </c>
    </row>
    <row r="8" spans="1:4" x14ac:dyDescent="0.25">
      <c r="A8" s="67">
        <v>90000</v>
      </c>
      <c r="B8" s="67">
        <v>53000</v>
      </c>
      <c r="C8" s="68">
        <v>0.58899999999999997</v>
      </c>
      <c r="D8" s="67">
        <v>37000</v>
      </c>
    </row>
    <row r="9" spans="1:4" x14ac:dyDescent="0.25">
      <c r="A9" s="67">
        <v>100000</v>
      </c>
      <c r="B9" s="67">
        <v>56500</v>
      </c>
      <c r="C9" s="68">
        <v>0.56499999999999995</v>
      </c>
      <c r="D9" s="67">
        <v>43500</v>
      </c>
    </row>
    <row r="10" spans="1:4" x14ac:dyDescent="0.25">
      <c r="A10" s="67">
        <v>110000</v>
      </c>
      <c r="B10" s="67">
        <v>59000</v>
      </c>
      <c r="C10" s="68">
        <v>0.53600000000000003</v>
      </c>
      <c r="D10" s="67">
        <v>51000</v>
      </c>
    </row>
    <row r="11" spans="1:4" x14ac:dyDescent="0.25">
      <c r="A11" s="67">
        <v>125000</v>
      </c>
      <c r="B11" s="67">
        <v>62750</v>
      </c>
      <c r="C11" s="68">
        <v>0.502</v>
      </c>
      <c r="D11" s="67">
        <v>62250</v>
      </c>
    </row>
    <row r="12" spans="1:4" x14ac:dyDescent="0.25">
      <c r="A12" s="66"/>
      <c r="B12" s="65"/>
      <c r="C12" s="66"/>
      <c r="D12" s="66"/>
    </row>
    <row r="13" spans="1:4" x14ac:dyDescent="0.25">
      <c r="A13" s="66"/>
      <c r="B13" s="65"/>
      <c r="C13" s="66"/>
      <c r="D13" s="6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Game Pieces</vt:lpstr>
      <vt:lpstr>Card Deck</vt:lpstr>
      <vt:lpstr>Pathway Roles</vt:lpstr>
      <vt:lpstr>Filing Status</vt:lpstr>
      <vt:lpstr>Tax Brackets</vt:lpstr>
      <vt:lpstr>Credits</vt:lpstr>
      <vt:lpstr>Developer Notes</vt:lpstr>
      <vt:lpstr>Sheet7</vt:lpstr>
      <vt:lpstr>Life Ledger and Game outputs</vt:lpstr>
      <vt:lpstr>Coding Notes</vt:lpstr>
      <vt:lpstr>Living Costs for Cash 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Stephanie Gillenkirk</cp:lastModifiedBy>
  <cp:lastPrinted>2025-05-10T20:42:31Z</cp:lastPrinted>
  <dcterms:created xsi:type="dcterms:W3CDTF">2025-05-10T20:47:54Z</dcterms:created>
  <dcterms:modified xsi:type="dcterms:W3CDTF">2026-09-29T01:26:50Z</dcterms:modified>
</cp:coreProperties>
</file>